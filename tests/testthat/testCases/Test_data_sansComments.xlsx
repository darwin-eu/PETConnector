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lamshahi/Packages/PETConnector/tests/testthat/testCases/"/>
    </mc:Choice>
  </mc:AlternateContent>
  <xr:revisionPtr revIDLastSave="0" documentId="13_ncr:1_{AE630594-B718-5A42-8E44-47897E3FE2E2}" xr6:coauthVersionLast="47" xr6:coauthVersionMax="47" xr10:uidLastSave="{00000000-0000-0000-0000-000000000000}"/>
  <bookViews>
    <workbookView xWindow="0" yWindow="980" windowWidth="34560" windowHeight="20000" activeTab="6" xr2:uid="{00000000-000D-0000-FFFF-FFFF00000000}"/>
  </bookViews>
  <sheets>
    <sheet name="person" sheetId="1" r:id="rId1"/>
    <sheet name="pregnancy" sheetId="3" r:id="rId2"/>
    <sheet name="observation_period" sheetId="2" r:id="rId3"/>
    <sheet name="condition_occurrence" sheetId="6" r:id="rId4"/>
    <sheet name="fact_relationship" sheetId="5" r:id="rId5"/>
    <sheet name="measurement" sheetId="7" r:id="rId6"/>
    <sheet name="infant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</calcChain>
</file>

<file path=xl/sharedStrings.xml><?xml version="1.0" encoding="utf-8"?>
<sst xmlns="http://schemas.openxmlformats.org/spreadsheetml/2006/main" count="60" uniqueCount="55">
  <si>
    <t>person_id</t>
  </si>
  <si>
    <t>gender_concept_id</t>
  </si>
  <si>
    <t>year_of_birth</t>
  </si>
  <si>
    <t>race_concept_id</t>
  </si>
  <si>
    <t>ethnicity_concept_id</t>
  </si>
  <si>
    <t>observation_period_id</t>
  </si>
  <si>
    <t>observation_period_start_date</t>
  </si>
  <si>
    <t>observation_period_end_date</t>
  </si>
  <si>
    <t>period_type_concept_id</t>
  </si>
  <si>
    <t xml:space="preserve">pregnancy_id </t>
  </si>
  <si>
    <t xml:space="preserve">pregnancy_start_date </t>
  </si>
  <si>
    <t xml:space="preserve">pregnancy_end_date </t>
  </si>
  <si>
    <t xml:space="preserve">gestational_length_in_day </t>
  </si>
  <si>
    <t>pregnancy_single</t>
  </si>
  <si>
    <t>pregnancy_id</t>
  </si>
  <si>
    <t>infant_id</t>
  </si>
  <si>
    <t>domain_concept_id_1</t>
  </si>
  <si>
    <t>domain_concept_id_2</t>
  </si>
  <si>
    <t>fact_id_1</t>
  </si>
  <si>
    <t>fact_id_2</t>
  </si>
  <si>
    <t>relationship_concept_id</t>
  </si>
  <si>
    <t>day_of_birth</t>
  </si>
  <si>
    <t>month_of_birth</t>
  </si>
  <si>
    <t xml:space="preserve">pregnancy_mode_delivery </t>
  </si>
  <si>
    <t>birth_outcome</t>
  </si>
  <si>
    <t>birth_weight</t>
  </si>
  <si>
    <t>birth_con_malformation</t>
  </si>
  <si>
    <t>birth_sga</t>
  </si>
  <si>
    <t>birth_apgar</t>
  </si>
  <si>
    <t>condition_occurrence_id</t>
  </si>
  <si>
    <t>condition_concept_id</t>
  </si>
  <si>
    <t>condition_start_date</t>
  </si>
  <si>
    <t>condition_end_date</t>
  </si>
  <si>
    <t>condition_type_concept_id</t>
  </si>
  <si>
    <t>measurement_id</t>
  </si>
  <si>
    <t>measurement_datetime</t>
  </si>
  <si>
    <t>value_as_number</t>
  </si>
  <si>
    <t>range_high</t>
  </si>
  <si>
    <t>measurement_source_value</t>
  </si>
  <si>
    <t>measurement_concept_id</t>
  </si>
  <si>
    <t>measurement_date</t>
  </si>
  <si>
    <t>measurement_time</t>
  </si>
  <si>
    <t>measurement_type_concept_id</t>
  </si>
  <si>
    <t>operator_concept_id</t>
  </si>
  <si>
    <t>value_as_concept_id</t>
  </si>
  <si>
    <t>unit_concept_id</t>
  </si>
  <si>
    <t>range_low</t>
  </si>
  <si>
    <t>provider_id</t>
  </si>
  <si>
    <t>visit_occurrence_id</t>
  </si>
  <si>
    <t>visit_detail_id</t>
  </si>
  <si>
    <t>measurement_source_concept_id</t>
  </si>
  <si>
    <t>unit_source_value</t>
  </si>
  <si>
    <t>value_source_value</t>
  </si>
  <si>
    <t>pre_pregnancy_smoking</t>
  </si>
  <si>
    <t>pregnancy_outcome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</si>
</sst>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33333"/>
      <name val="Source Sans Pro"/>
      <charset val="1"/>
    </font>
    <font>
      <sz val="11"/>
      <color rgb="FF000000"/>
      <name val="Calibri"/>
      <family val="2"/>
      <scheme val="minor"/>
    </font>
    <font>
      <sz val="11"/>
      <color rgb="FF000000"/>
      <name val="Source Sans Pro"/>
      <charset val="1"/>
    </font>
    <font>
      <sz val="14"/>
      <color rgb="FF464646"/>
      <name val="Calibri"/>
      <family val="2"/>
      <scheme val="minor"/>
    </font>
    <font>
      <sz val="13"/>
      <color rgb="FF46464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164" fontId="0" fillId="0" borderId="0" xfId="0" applyNumberFormat="1"/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7" fillId="0" borderId="0" xfId="0" applyFont="1"/>
    <xf numFmtId="164" fontId="4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workbookViewId="0">
      <selection activeCell="H23" sqref="H23"/>
    </sheetView>
  </sheetViews>
  <sheetFormatPr baseColWidth="10" defaultColWidth="8.83203125" defaultRowHeight="15" x14ac:dyDescent="0.2"/>
  <cols>
    <col min="2" max="4" width="35.5" customWidth="1"/>
    <col min="5" max="5" width="21.5" customWidth="1"/>
    <col min="7" max="7" width="17.83203125" customWidth="1"/>
  </cols>
  <sheetData>
    <row r="1" spans="1:7" ht="16" x14ac:dyDescent="0.2">
      <c r="A1" s="1" t="s">
        <v>0</v>
      </c>
      <c r="B1" s="1" t="s">
        <v>1</v>
      </c>
      <c r="C1" s="1" t="s">
        <v>21</v>
      </c>
      <c r="D1" s="1" t="s">
        <v>22</v>
      </c>
      <c r="E1" s="1" t="s">
        <v>2</v>
      </c>
      <c r="F1" s="1" t="s">
        <v>3</v>
      </c>
      <c r="G1" s="1" t="s">
        <v>4</v>
      </c>
    </row>
    <row r="2" spans="1:7" ht="16" x14ac:dyDescent="0.2">
      <c r="A2" s="1">
        <v>1</v>
      </c>
      <c r="B2" s="1">
        <v>8532</v>
      </c>
      <c r="C2" s="1">
        <v>1</v>
      </c>
      <c r="D2" s="1">
        <v>6</v>
      </c>
      <c r="E2" s="1">
        <v>1990</v>
      </c>
      <c r="F2" s="1">
        <v>0</v>
      </c>
      <c r="G2" s="1">
        <v>0</v>
      </c>
    </row>
    <row r="3" spans="1:7" ht="16" x14ac:dyDescent="0.2">
      <c r="A3" s="1">
        <v>2</v>
      </c>
      <c r="B3" s="1">
        <v>8507</v>
      </c>
      <c r="C3" s="1">
        <v>1</v>
      </c>
      <c r="D3" s="1">
        <v>6</v>
      </c>
      <c r="E3" s="1">
        <v>1985</v>
      </c>
      <c r="F3" s="1">
        <v>0</v>
      </c>
      <c r="G3" s="1">
        <v>0</v>
      </c>
    </row>
    <row r="4" spans="1:7" ht="16" x14ac:dyDescent="0.2">
      <c r="A4" s="1">
        <v>3</v>
      </c>
      <c r="B4" s="1">
        <v>8507</v>
      </c>
      <c r="C4" s="1">
        <v>1</v>
      </c>
      <c r="D4" s="1">
        <v>1</v>
      </c>
      <c r="E4" s="1">
        <v>2008</v>
      </c>
      <c r="F4" s="1">
        <v>0</v>
      </c>
      <c r="G4" s="1">
        <v>0</v>
      </c>
    </row>
    <row r="5" spans="1:7" ht="16" x14ac:dyDescent="0.2">
      <c r="A5" s="1">
        <v>4</v>
      </c>
      <c r="B5" s="1">
        <v>8532</v>
      </c>
      <c r="C5" s="1">
        <v>1</v>
      </c>
      <c r="D5" s="1">
        <v>3</v>
      </c>
      <c r="E5" s="1">
        <v>2018</v>
      </c>
      <c r="F5" s="1">
        <v>0</v>
      </c>
      <c r="G5" s="1">
        <v>0</v>
      </c>
    </row>
    <row r="6" spans="1:7" ht="16" x14ac:dyDescent="0.2">
      <c r="A6" s="1">
        <v>5</v>
      </c>
      <c r="B6" s="1">
        <v>8532</v>
      </c>
      <c r="C6" s="1">
        <v>1</v>
      </c>
      <c r="D6" s="1">
        <v>6</v>
      </c>
      <c r="E6" s="1">
        <v>2020</v>
      </c>
      <c r="F6" s="1">
        <v>0</v>
      </c>
      <c r="G6" s="1">
        <v>0</v>
      </c>
    </row>
    <row r="7" spans="1:7" ht="16" x14ac:dyDescent="0.2">
      <c r="A7" s="1">
        <v>6</v>
      </c>
      <c r="B7" s="1">
        <v>8532</v>
      </c>
      <c r="C7" s="1">
        <v>1</v>
      </c>
      <c r="D7" s="1">
        <v>6</v>
      </c>
      <c r="E7" s="1">
        <v>1995</v>
      </c>
      <c r="F7" s="1">
        <v>0</v>
      </c>
      <c r="G7" s="1">
        <v>0</v>
      </c>
    </row>
    <row r="8" spans="1:7" ht="16" x14ac:dyDescent="0.2">
      <c r="A8" s="1">
        <v>7</v>
      </c>
      <c r="B8" s="1">
        <v>8532</v>
      </c>
      <c r="C8" s="1">
        <v>1</v>
      </c>
      <c r="D8" s="1">
        <v>10</v>
      </c>
      <c r="E8" s="1">
        <v>2020</v>
      </c>
      <c r="F8" s="1">
        <v>0</v>
      </c>
      <c r="G8" s="1">
        <v>0</v>
      </c>
    </row>
    <row r="9" spans="1:7" ht="16" x14ac:dyDescent="0.2">
      <c r="A9" s="1">
        <v>8</v>
      </c>
      <c r="B9" s="1">
        <v>8507</v>
      </c>
      <c r="C9" s="1">
        <v>1</v>
      </c>
      <c r="D9" s="1">
        <v>6</v>
      </c>
      <c r="E9" s="1">
        <v>2022</v>
      </c>
      <c r="F9" s="1">
        <v>0</v>
      </c>
      <c r="G9" s="1">
        <v>0</v>
      </c>
    </row>
    <row r="10" spans="1:7" ht="16" x14ac:dyDescent="0.2">
      <c r="A10" s="1">
        <v>9</v>
      </c>
      <c r="B10" s="1">
        <v>8532</v>
      </c>
      <c r="C10" s="1">
        <v>1</v>
      </c>
      <c r="D10" s="1">
        <v>6</v>
      </c>
      <c r="E10" s="1">
        <v>1996</v>
      </c>
      <c r="F10" s="1">
        <v>0</v>
      </c>
      <c r="G10" s="1">
        <v>0</v>
      </c>
    </row>
    <row r="11" spans="1:7" ht="16" x14ac:dyDescent="0.2">
      <c r="A11" s="1">
        <v>10</v>
      </c>
      <c r="B11" s="1">
        <v>8507</v>
      </c>
      <c r="C11" s="1">
        <v>1</v>
      </c>
      <c r="D11" s="1">
        <v>10</v>
      </c>
      <c r="E11" s="1">
        <v>2023</v>
      </c>
      <c r="F11" s="1">
        <v>0</v>
      </c>
      <c r="G11" s="1">
        <v>0</v>
      </c>
    </row>
    <row r="12" spans="1:7" ht="16" x14ac:dyDescent="0.2">
      <c r="A12" s="1">
        <v>11</v>
      </c>
      <c r="B12" s="1">
        <v>8532</v>
      </c>
      <c r="C12" s="1">
        <v>1</v>
      </c>
      <c r="D12" s="1">
        <v>6</v>
      </c>
      <c r="E12" s="1">
        <v>2000</v>
      </c>
      <c r="F12" s="1">
        <v>0</v>
      </c>
      <c r="G12" s="1">
        <v>0</v>
      </c>
    </row>
    <row r="13" spans="1:7" ht="16" x14ac:dyDescent="0.2">
      <c r="A13" s="1">
        <v>12</v>
      </c>
      <c r="B13" s="1">
        <v>8532</v>
      </c>
      <c r="C13" s="1">
        <v>1</v>
      </c>
      <c r="D13" s="1">
        <v>7</v>
      </c>
      <c r="E13" s="1">
        <v>2022</v>
      </c>
      <c r="F13" s="1">
        <v>0</v>
      </c>
      <c r="G13" s="1">
        <v>0</v>
      </c>
    </row>
    <row r="14" spans="1:7" ht="16" x14ac:dyDescent="0.2">
      <c r="A14" s="1">
        <v>13</v>
      </c>
      <c r="B14" s="1">
        <v>8507</v>
      </c>
      <c r="C14" s="1">
        <v>1</v>
      </c>
      <c r="D14" s="1">
        <v>7</v>
      </c>
      <c r="E14" s="1">
        <v>2022</v>
      </c>
      <c r="F14" s="1">
        <v>0</v>
      </c>
      <c r="G14" s="1">
        <v>0</v>
      </c>
    </row>
    <row r="15" spans="1:7" ht="16" x14ac:dyDescent="0.2">
      <c r="A15" s="1">
        <v>14</v>
      </c>
      <c r="B15" s="1">
        <v>8532</v>
      </c>
      <c r="C15" s="1">
        <v>1</v>
      </c>
      <c r="D15" s="1">
        <v>6</v>
      </c>
      <c r="E15" s="1">
        <v>1992</v>
      </c>
      <c r="F15" s="1">
        <v>0</v>
      </c>
      <c r="G15" s="1">
        <v>0</v>
      </c>
    </row>
    <row r="16" spans="1:7" ht="16" x14ac:dyDescent="0.2">
      <c r="A16" s="1">
        <v>15</v>
      </c>
      <c r="B16" s="1">
        <v>8507</v>
      </c>
      <c r="C16" s="1">
        <v>1</v>
      </c>
      <c r="D16" s="1">
        <v>6</v>
      </c>
      <c r="E16" s="1">
        <v>2022</v>
      </c>
      <c r="F16" s="1">
        <v>0</v>
      </c>
      <c r="G16" s="1">
        <v>0</v>
      </c>
    </row>
    <row r="17" spans="1:11" ht="16" x14ac:dyDescent="0.2">
      <c r="A17" s="1">
        <v>16</v>
      </c>
      <c r="B17" s="1">
        <v>8532</v>
      </c>
      <c r="C17" s="1">
        <v>1</v>
      </c>
      <c r="D17" s="1">
        <v>6</v>
      </c>
      <c r="E17" s="1">
        <v>1992</v>
      </c>
      <c r="F17" s="1">
        <v>0</v>
      </c>
      <c r="G17" s="1">
        <v>0</v>
      </c>
    </row>
    <row r="18" spans="1:11" ht="16" x14ac:dyDescent="0.2">
      <c r="A18" s="1">
        <v>17</v>
      </c>
      <c r="B18" s="1">
        <v>8532</v>
      </c>
      <c r="C18" s="1">
        <v>1</v>
      </c>
      <c r="D18" s="1">
        <v>6</v>
      </c>
      <c r="E18" s="1">
        <v>1992</v>
      </c>
      <c r="F18" s="1">
        <v>0</v>
      </c>
      <c r="G18" s="1">
        <v>0</v>
      </c>
    </row>
    <row r="19" spans="1:11" ht="16" x14ac:dyDescent="0.2">
      <c r="A19" s="1">
        <v>18</v>
      </c>
      <c r="B19" s="1">
        <v>8532</v>
      </c>
      <c r="C19" s="1">
        <v>1</v>
      </c>
      <c r="D19" s="1">
        <v>6</v>
      </c>
      <c r="E19" s="1">
        <v>1992</v>
      </c>
      <c r="F19" s="1">
        <v>0</v>
      </c>
      <c r="G19" s="1">
        <v>0</v>
      </c>
    </row>
    <row r="20" spans="1:11" ht="16" x14ac:dyDescent="0.2">
      <c r="A20" s="1">
        <v>19</v>
      </c>
      <c r="B20" s="1">
        <v>8532</v>
      </c>
      <c r="C20" s="1">
        <v>1</v>
      </c>
      <c r="D20" s="1">
        <v>6</v>
      </c>
      <c r="E20" s="1">
        <v>1992</v>
      </c>
      <c r="F20" s="1">
        <v>0</v>
      </c>
      <c r="G20" s="1">
        <v>0</v>
      </c>
    </row>
    <row r="21" spans="1:11" ht="16" x14ac:dyDescent="0.2">
      <c r="A21" s="1">
        <v>100</v>
      </c>
      <c r="B21" s="1">
        <v>8532</v>
      </c>
      <c r="C21" s="1">
        <v>1</v>
      </c>
      <c r="D21" s="1">
        <v>6</v>
      </c>
      <c r="E21" s="1">
        <v>2000</v>
      </c>
      <c r="F21" s="1">
        <v>0</v>
      </c>
      <c r="G21" s="1">
        <v>0</v>
      </c>
    </row>
    <row r="22" spans="1:11" ht="16" x14ac:dyDescent="0.2">
      <c r="A22" s="1">
        <v>102</v>
      </c>
      <c r="B22" s="1">
        <v>8532</v>
      </c>
      <c r="C22" s="1">
        <v>1</v>
      </c>
      <c r="D22" s="1">
        <v>6</v>
      </c>
      <c r="E22" s="1">
        <v>2000</v>
      </c>
      <c r="F22" s="1">
        <v>0</v>
      </c>
      <c r="G22" s="1">
        <v>0</v>
      </c>
    </row>
    <row r="23" spans="1:11" ht="16" x14ac:dyDescent="0.2">
      <c r="A23" s="1">
        <v>25</v>
      </c>
      <c r="B23" s="1">
        <v>8532</v>
      </c>
      <c r="C23" s="1">
        <v>1</v>
      </c>
      <c r="D23" s="1">
        <v>7</v>
      </c>
      <c r="E23" s="1">
        <v>2022</v>
      </c>
      <c r="F23" s="1">
        <v>0</v>
      </c>
      <c r="G23" s="1">
        <v>0</v>
      </c>
    </row>
    <row r="24" spans="1:11" ht="16" x14ac:dyDescent="0.2">
      <c r="A24" s="1"/>
      <c r="B24" s="1"/>
      <c r="C24" s="1"/>
      <c r="E24" s="1"/>
      <c r="F24" s="1"/>
      <c r="G24" s="1"/>
      <c r="H24" s="4"/>
      <c r="K24" s="4"/>
    </row>
    <row r="25" spans="1:11" ht="16" x14ac:dyDescent="0.2">
      <c r="A25" s="1"/>
      <c r="B25" s="1"/>
      <c r="C25" s="1"/>
      <c r="E25" s="1"/>
      <c r="F25" s="1"/>
      <c r="G25" s="1"/>
      <c r="H25" s="4"/>
      <c r="K25" s="4"/>
    </row>
    <row r="26" spans="1:11" ht="16" x14ac:dyDescent="0.2">
      <c r="A26" s="1"/>
      <c r="B26" s="1"/>
      <c r="C26" s="1"/>
      <c r="E26" s="1"/>
      <c r="F26" s="1"/>
      <c r="G26" s="1"/>
      <c r="H26" s="4"/>
      <c r="K26" s="4"/>
    </row>
    <row r="27" spans="1:11" ht="16" x14ac:dyDescent="0.2">
      <c r="A27" s="1"/>
      <c r="B27" s="1"/>
      <c r="C27" s="1"/>
      <c r="E27" s="1"/>
      <c r="F27" s="1"/>
      <c r="G27" s="1"/>
    </row>
    <row r="28" spans="1:11" ht="16" x14ac:dyDescent="0.2">
      <c r="A28" s="1"/>
      <c r="B28" s="1"/>
      <c r="C28" s="1"/>
      <c r="E28" s="1"/>
      <c r="F28" s="1"/>
      <c r="G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04438-4099-6E40-90B1-739F61573A13}">
  <dimension ref="A1:J19"/>
  <sheetViews>
    <sheetView workbookViewId="0">
      <selection activeCell="A20" sqref="A20"/>
    </sheetView>
  </sheetViews>
  <sheetFormatPr baseColWidth="10" defaultColWidth="11.5" defaultRowHeight="15" x14ac:dyDescent="0.2"/>
  <cols>
    <col min="2" max="2" width="18.6640625" customWidth="1"/>
    <col min="3" max="3" width="21.6640625" style="8" customWidth="1"/>
    <col min="4" max="4" width="27" style="8" customWidth="1"/>
    <col min="5" max="5" width="24.6640625" bestFit="1" customWidth="1"/>
    <col min="6" max="6" width="21.6640625" bestFit="1" customWidth="1"/>
    <col min="7" max="7" width="24.33203125" bestFit="1" customWidth="1"/>
    <col min="8" max="8" width="19.1640625" customWidth="1"/>
  </cols>
  <sheetData>
    <row r="1" spans="1:10" ht="16" x14ac:dyDescent="0.2">
      <c r="A1" s="1" t="s">
        <v>0</v>
      </c>
      <c r="B1" s="1" t="s">
        <v>9</v>
      </c>
      <c r="C1" s="7" t="s">
        <v>10</v>
      </c>
      <c r="D1" s="7" t="s">
        <v>11</v>
      </c>
      <c r="E1" s="1" t="s">
        <v>12</v>
      </c>
      <c r="F1" s="1" t="s">
        <v>54</v>
      </c>
      <c r="G1" s="1" t="s">
        <v>23</v>
      </c>
      <c r="H1" s="1" t="s">
        <v>13</v>
      </c>
      <c r="I1" s="1" t="s">
        <v>53</v>
      </c>
      <c r="J1" s="1"/>
    </row>
    <row r="2" spans="1:10" ht="16" x14ac:dyDescent="0.2">
      <c r="A2" s="1">
        <v>11</v>
      </c>
      <c r="B2" s="1">
        <v>6</v>
      </c>
      <c r="C2" s="10">
        <v>44296</v>
      </c>
      <c r="D2" s="10">
        <v>44568</v>
      </c>
      <c r="E2" s="1">
        <v>270</v>
      </c>
      <c r="F2" s="1">
        <v>4092289</v>
      </c>
      <c r="G2" s="1">
        <v>4015701</v>
      </c>
      <c r="H2" s="1">
        <v>4188540</v>
      </c>
      <c r="I2" s="1">
        <v>4188539</v>
      </c>
      <c r="J2" s="1"/>
    </row>
    <row r="3" spans="1:10" ht="16" x14ac:dyDescent="0.2">
      <c r="A3" s="1">
        <v>11</v>
      </c>
      <c r="B3" s="1">
        <v>6</v>
      </c>
      <c r="C3" s="10">
        <v>44296</v>
      </c>
      <c r="D3" s="10">
        <v>44568</v>
      </c>
      <c r="E3" s="1">
        <v>270</v>
      </c>
      <c r="F3" s="1">
        <v>4092289</v>
      </c>
      <c r="G3" s="1">
        <v>4015701</v>
      </c>
      <c r="H3" s="1">
        <v>4188540</v>
      </c>
      <c r="I3" s="1">
        <v>4188539</v>
      </c>
      <c r="J3" s="1"/>
    </row>
    <row r="4" spans="1:10" ht="16" x14ac:dyDescent="0.2">
      <c r="A4" s="1">
        <v>20</v>
      </c>
      <c r="B4" s="1">
        <v>13</v>
      </c>
      <c r="C4" s="10">
        <v>44296</v>
      </c>
      <c r="D4" s="10">
        <v>44568</v>
      </c>
      <c r="E4" s="1">
        <v>270</v>
      </c>
      <c r="F4" s="1">
        <v>4092289</v>
      </c>
      <c r="G4" s="1">
        <v>4015701</v>
      </c>
      <c r="H4" s="1">
        <v>4188540</v>
      </c>
      <c r="I4" s="1">
        <v>4188539</v>
      </c>
      <c r="J4" s="1"/>
    </row>
    <row r="5" spans="1:10" ht="16" x14ac:dyDescent="0.2">
      <c r="A5" s="1">
        <v>20</v>
      </c>
      <c r="B5" s="1">
        <v>13</v>
      </c>
      <c r="C5" s="10">
        <v>44326</v>
      </c>
      <c r="D5" s="10">
        <v>44599</v>
      </c>
      <c r="E5" s="1">
        <v>270</v>
      </c>
      <c r="F5" s="1">
        <v>4092289</v>
      </c>
      <c r="G5" s="1">
        <v>4015701</v>
      </c>
      <c r="H5" s="1">
        <v>4188540</v>
      </c>
      <c r="I5" s="1">
        <v>4188539</v>
      </c>
      <c r="J5" s="1"/>
    </row>
    <row r="6" spans="1:10" ht="16" x14ac:dyDescent="0.2">
      <c r="A6" s="1">
        <v>1</v>
      </c>
      <c r="B6" s="1">
        <v>1</v>
      </c>
      <c r="C6" s="9">
        <v>39329</v>
      </c>
      <c r="D6" s="9">
        <v>39448</v>
      </c>
      <c r="E6" s="1">
        <v>280</v>
      </c>
      <c r="F6" s="1">
        <v>4092289</v>
      </c>
      <c r="G6" s="1">
        <v>4125611</v>
      </c>
      <c r="H6" s="1">
        <v>4188540</v>
      </c>
      <c r="I6" s="1">
        <v>4188539</v>
      </c>
      <c r="J6" s="1"/>
    </row>
    <row r="7" spans="1:10" ht="16" x14ac:dyDescent="0.2">
      <c r="A7" s="1">
        <v>1</v>
      </c>
      <c r="B7" s="1">
        <v>2</v>
      </c>
      <c r="C7" s="9">
        <v>42953</v>
      </c>
      <c r="D7" s="9">
        <v>43174</v>
      </c>
      <c r="E7" s="1">
        <v>280</v>
      </c>
      <c r="F7" s="1">
        <v>4092289</v>
      </c>
      <c r="G7" s="1">
        <v>4125611</v>
      </c>
      <c r="H7" s="1">
        <v>4188540</v>
      </c>
      <c r="I7" s="1">
        <v>4188539</v>
      </c>
      <c r="J7" s="1"/>
    </row>
    <row r="8" spans="1:10" ht="16" x14ac:dyDescent="0.2">
      <c r="A8" s="1">
        <v>1</v>
      </c>
      <c r="B8" s="1">
        <v>3</v>
      </c>
      <c r="C8" s="9">
        <v>43735</v>
      </c>
      <c r="D8" s="9">
        <v>44002</v>
      </c>
      <c r="E8" s="1">
        <v>280</v>
      </c>
      <c r="F8" s="1">
        <v>4092289</v>
      </c>
      <c r="G8" s="1">
        <v>4125611</v>
      </c>
      <c r="H8" s="1">
        <v>4188539</v>
      </c>
      <c r="I8" s="1">
        <v>4188539</v>
      </c>
      <c r="J8" s="1"/>
    </row>
    <row r="9" spans="1:10" ht="16" x14ac:dyDescent="0.2">
      <c r="A9" s="1">
        <v>9</v>
      </c>
      <c r="B9" s="1">
        <v>4</v>
      </c>
      <c r="C9" s="9">
        <v>44562</v>
      </c>
      <c r="D9" s="9">
        <v>44565</v>
      </c>
      <c r="E9" s="1">
        <v>90</v>
      </c>
      <c r="F9" s="1">
        <v>4067106</v>
      </c>
      <c r="G9" s="1">
        <v>4125611</v>
      </c>
      <c r="H9" s="1">
        <v>4188539</v>
      </c>
      <c r="I9" s="1">
        <v>4188540</v>
      </c>
      <c r="J9" s="1"/>
    </row>
    <row r="10" spans="1:10" ht="16" x14ac:dyDescent="0.2">
      <c r="A10" s="1">
        <v>9</v>
      </c>
      <c r="B10" s="1">
        <v>5</v>
      </c>
      <c r="C10" s="9">
        <v>44927</v>
      </c>
      <c r="D10" s="9">
        <v>45148</v>
      </c>
      <c r="E10" s="1">
        <v>280</v>
      </c>
      <c r="F10" s="1">
        <v>4092289</v>
      </c>
      <c r="G10" s="1">
        <v>4125611</v>
      </c>
      <c r="H10" s="1">
        <v>4188539</v>
      </c>
      <c r="I10" s="1">
        <v>4188540</v>
      </c>
      <c r="J10" s="1"/>
    </row>
    <row r="11" spans="1:10" ht="16" x14ac:dyDescent="0.2">
      <c r="A11" s="1">
        <v>14</v>
      </c>
      <c r="B11" s="1">
        <v>7</v>
      </c>
      <c r="C11" s="10">
        <v>44660</v>
      </c>
      <c r="D11" s="10">
        <v>44567</v>
      </c>
      <c r="E11" s="1">
        <v>270</v>
      </c>
      <c r="F11" s="1">
        <v>4092289</v>
      </c>
      <c r="G11" s="1">
        <v>4125611</v>
      </c>
      <c r="H11" s="1">
        <v>4188539</v>
      </c>
      <c r="I11" s="1">
        <v>4188539</v>
      </c>
    </row>
    <row r="12" spans="1:10" ht="16" x14ac:dyDescent="0.2">
      <c r="A12" s="1">
        <v>14</v>
      </c>
      <c r="B12" s="1">
        <v>8</v>
      </c>
      <c r="C12" s="10">
        <v>43830</v>
      </c>
      <c r="D12" s="10">
        <v>43836</v>
      </c>
      <c r="E12" s="1">
        <f>7*22</f>
        <v>154</v>
      </c>
      <c r="F12">
        <v>443213</v>
      </c>
      <c r="G12" s="1">
        <v>4125611</v>
      </c>
      <c r="H12" s="1">
        <v>4188539</v>
      </c>
      <c r="I12" s="1">
        <v>4188539</v>
      </c>
    </row>
    <row r="13" spans="1:10" ht="16" x14ac:dyDescent="0.2">
      <c r="A13" s="1">
        <v>16</v>
      </c>
      <c r="B13" s="1">
        <v>9</v>
      </c>
      <c r="C13" s="9">
        <v>45562</v>
      </c>
      <c r="D13" s="9">
        <v>45828</v>
      </c>
      <c r="E13" s="1">
        <v>280</v>
      </c>
      <c r="F13">
        <v>443213</v>
      </c>
      <c r="G13" s="1">
        <v>4125611</v>
      </c>
      <c r="H13" s="1">
        <v>4188539</v>
      </c>
      <c r="I13" s="1">
        <v>4188540</v>
      </c>
    </row>
    <row r="14" spans="1:10" ht="16" x14ac:dyDescent="0.2">
      <c r="A14" s="1">
        <v>17</v>
      </c>
      <c r="B14" s="1">
        <v>10</v>
      </c>
      <c r="C14" s="9">
        <v>45196</v>
      </c>
      <c r="D14" s="9">
        <v>45463</v>
      </c>
      <c r="E14" s="1">
        <v>280</v>
      </c>
      <c r="F14">
        <v>443213</v>
      </c>
      <c r="G14" s="1">
        <v>4125611</v>
      </c>
      <c r="H14" s="1">
        <v>4188539</v>
      </c>
      <c r="I14" s="1">
        <v>4188539</v>
      </c>
    </row>
    <row r="15" spans="1:10" ht="16" x14ac:dyDescent="0.2">
      <c r="A15" s="1">
        <v>18</v>
      </c>
      <c r="B15" s="1">
        <v>11</v>
      </c>
      <c r="C15" s="9">
        <v>41544</v>
      </c>
      <c r="D15" s="9">
        <v>41810</v>
      </c>
      <c r="E15" s="1">
        <v>280</v>
      </c>
      <c r="F15">
        <v>443213</v>
      </c>
      <c r="G15" s="1">
        <v>4125611</v>
      </c>
      <c r="H15" s="1">
        <v>4188539</v>
      </c>
      <c r="I15" s="1">
        <v>4188539</v>
      </c>
      <c r="J15" s="1"/>
    </row>
    <row r="16" spans="1:10" ht="16" x14ac:dyDescent="0.2">
      <c r="A16" s="1">
        <v>19</v>
      </c>
      <c r="B16" s="1">
        <v>12</v>
      </c>
      <c r="C16" s="9">
        <v>43005</v>
      </c>
      <c r="D16" s="9">
        <v>42906</v>
      </c>
      <c r="E16" s="1">
        <v>280</v>
      </c>
      <c r="F16">
        <v>443213</v>
      </c>
      <c r="G16" s="1">
        <v>4125611</v>
      </c>
      <c r="H16" s="1">
        <v>4188539</v>
      </c>
      <c r="I16" s="1">
        <v>4188540</v>
      </c>
      <c r="J16" s="1"/>
    </row>
    <row r="17" spans="1:10" ht="16" x14ac:dyDescent="0.2">
      <c r="A17" s="1">
        <v>100</v>
      </c>
      <c r="B17" s="1">
        <v>100</v>
      </c>
      <c r="C17" s="10">
        <v>44296</v>
      </c>
      <c r="D17" s="10">
        <v>44568</v>
      </c>
      <c r="E17" s="1">
        <v>270</v>
      </c>
      <c r="F17" s="1">
        <v>4092289</v>
      </c>
      <c r="G17" s="1"/>
      <c r="H17" s="1">
        <v>4188540</v>
      </c>
      <c r="I17" s="1">
        <v>4188539</v>
      </c>
      <c r="J17" s="1"/>
    </row>
    <row r="18" spans="1:10" ht="16" x14ac:dyDescent="0.2">
      <c r="A18" s="1">
        <v>102</v>
      </c>
      <c r="B18" s="1">
        <v>71</v>
      </c>
      <c r="C18" s="10">
        <v>44296</v>
      </c>
      <c r="D18" s="10">
        <v>44568</v>
      </c>
      <c r="E18" s="1">
        <v>270</v>
      </c>
      <c r="F18" s="1">
        <v>4092289</v>
      </c>
      <c r="G18" s="1">
        <v>4015701</v>
      </c>
      <c r="H18" s="1">
        <v>4188540</v>
      </c>
      <c r="I18" s="1">
        <v>4188539</v>
      </c>
    </row>
    <row r="19" spans="1:10" ht="16" x14ac:dyDescent="0.2">
      <c r="A19" s="1">
        <v>102</v>
      </c>
      <c r="B19" s="1">
        <v>72</v>
      </c>
      <c r="C19" s="10">
        <v>44296</v>
      </c>
      <c r="D19" s="10">
        <v>44568</v>
      </c>
      <c r="E19" s="1">
        <v>270</v>
      </c>
      <c r="F19" s="1">
        <v>4092289</v>
      </c>
      <c r="G19" s="1">
        <v>4015701</v>
      </c>
      <c r="H19" s="1">
        <v>4188540</v>
      </c>
      <c r="I19" s="1">
        <v>4188539</v>
      </c>
    </row>
  </sheetData>
  <sortState xmlns:xlrd2="http://schemas.microsoft.com/office/spreadsheetml/2017/richdata2" ref="A2:I17">
    <sortCondition ref="G1:G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B433-8712-6348-9439-118BA945D9FC}">
  <dimension ref="A1:E24"/>
  <sheetViews>
    <sheetView workbookViewId="0">
      <selection activeCell="A25" sqref="A25"/>
    </sheetView>
  </sheetViews>
  <sheetFormatPr baseColWidth="10" defaultColWidth="11.5" defaultRowHeight="15" x14ac:dyDescent="0.2"/>
  <cols>
    <col min="1" max="1" width="22.1640625" bestFit="1" customWidth="1"/>
    <col min="3" max="3" width="30.33203125" style="8" bestFit="1" customWidth="1"/>
    <col min="4" max="4" width="29.33203125" style="8" bestFit="1" customWidth="1"/>
    <col min="5" max="5" width="27.33203125" customWidth="1"/>
  </cols>
  <sheetData>
    <row r="1" spans="1:5" ht="16" x14ac:dyDescent="0.2">
      <c r="A1" s="1" t="s">
        <v>5</v>
      </c>
      <c r="B1" s="1" t="s">
        <v>0</v>
      </c>
      <c r="C1" s="7" t="s">
        <v>6</v>
      </c>
      <c r="D1" s="7" t="s">
        <v>7</v>
      </c>
      <c r="E1" s="1" t="s">
        <v>8</v>
      </c>
    </row>
    <row r="2" spans="1:5" ht="16" x14ac:dyDescent="0.2">
      <c r="A2" s="1">
        <v>1</v>
      </c>
      <c r="B2" s="1">
        <v>1</v>
      </c>
      <c r="C2" s="6">
        <v>45658</v>
      </c>
      <c r="D2" s="6">
        <v>45657</v>
      </c>
      <c r="E2" s="1">
        <v>32880</v>
      </c>
    </row>
    <row r="3" spans="1:5" ht="16" x14ac:dyDescent="0.2">
      <c r="A3" s="1">
        <v>2</v>
      </c>
      <c r="B3" s="1">
        <v>2</v>
      </c>
      <c r="C3" s="6">
        <v>38718</v>
      </c>
      <c r="D3" s="6">
        <v>45657</v>
      </c>
      <c r="E3" s="1">
        <v>32880</v>
      </c>
    </row>
    <row r="4" spans="1:5" ht="16" x14ac:dyDescent="0.2">
      <c r="A4" s="1">
        <v>3</v>
      </c>
      <c r="B4" s="1">
        <v>3</v>
      </c>
      <c r="C4" s="6">
        <v>39448</v>
      </c>
      <c r="D4" s="6">
        <v>45657</v>
      </c>
      <c r="E4" s="1">
        <v>32880</v>
      </c>
    </row>
    <row r="5" spans="1:5" ht="16" x14ac:dyDescent="0.2">
      <c r="A5" s="1">
        <v>4</v>
      </c>
      <c r="B5" s="1">
        <v>4</v>
      </c>
      <c r="C5" s="6">
        <v>43174</v>
      </c>
      <c r="D5" s="6">
        <v>45657</v>
      </c>
      <c r="E5" s="1">
        <v>32880</v>
      </c>
    </row>
    <row r="6" spans="1:5" ht="16" x14ac:dyDescent="0.2">
      <c r="A6" s="1">
        <v>5</v>
      </c>
      <c r="B6" s="1">
        <v>5</v>
      </c>
      <c r="C6" s="6">
        <v>44002</v>
      </c>
      <c r="D6" s="6">
        <v>45657</v>
      </c>
      <c r="E6" s="1">
        <v>32880</v>
      </c>
    </row>
    <row r="7" spans="1:5" ht="16" x14ac:dyDescent="0.2">
      <c r="A7" s="1">
        <v>6</v>
      </c>
      <c r="B7" s="1">
        <v>6</v>
      </c>
      <c r="C7" s="6">
        <v>38718</v>
      </c>
      <c r="D7" s="6">
        <v>45657</v>
      </c>
      <c r="E7" s="1">
        <v>32880</v>
      </c>
    </row>
    <row r="8" spans="1:5" ht="16" x14ac:dyDescent="0.2">
      <c r="A8" s="1">
        <v>7</v>
      </c>
      <c r="B8" s="1">
        <v>7</v>
      </c>
      <c r="C8" s="6">
        <v>43840</v>
      </c>
      <c r="D8" s="6">
        <v>45657</v>
      </c>
      <c r="E8" s="1">
        <v>32880</v>
      </c>
    </row>
    <row r="9" spans="1:5" ht="16" x14ac:dyDescent="0.2">
      <c r="A9" s="1">
        <v>8</v>
      </c>
      <c r="B9" s="1">
        <v>8</v>
      </c>
      <c r="C9" s="6">
        <v>44567</v>
      </c>
      <c r="D9" s="6">
        <v>45657</v>
      </c>
      <c r="E9" s="1">
        <v>32880</v>
      </c>
    </row>
    <row r="10" spans="1:5" ht="16" x14ac:dyDescent="0.2">
      <c r="A10" s="1">
        <v>9</v>
      </c>
      <c r="B10" s="1">
        <v>9</v>
      </c>
      <c r="C10" s="6">
        <v>38718</v>
      </c>
      <c r="D10" s="6">
        <v>45657</v>
      </c>
      <c r="E10" s="1">
        <v>32880</v>
      </c>
    </row>
    <row r="11" spans="1:5" ht="16" x14ac:dyDescent="0.2">
      <c r="A11" s="1">
        <v>10</v>
      </c>
      <c r="B11" s="1">
        <v>10</v>
      </c>
      <c r="C11" s="8">
        <v>45148</v>
      </c>
      <c r="D11" s="8">
        <v>45657</v>
      </c>
      <c r="E11" s="1">
        <v>32880</v>
      </c>
    </row>
    <row r="12" spans="1:5" ht="16" x14ac:dyDescent="0.2">
      <c r="A12" s="1">
        <v>11</v>
      </c>
      <c r="B12" s="1">
        <v>11</v>
      </c>
      <c r="C12" s="6">
        <v>38718</v>
      </c>
      <c r="D12" s="6">
        <v>45657</v>
      </c>
      <c r="E12" s="1">
        <v>32880</v>
      </c>
    </row>
    <row r="13" spans="1:5" ht="16" x14ac:dyDescent="0.2">
      <c r="A13" s="1">
        <v>12</v>
      </c>
      <c r="B13" s="1">
        <v>12</v>
      </c>
      <c r="C13" s="7">
        <v>44568</v>
      </c>
      <c r="D13" s="8">
        <v>45657</v>
      </c>
      <c r="E13" s="1">
        <v>32880</v>
      </c>
    </row>
    <row r="14" spans="1:5" ht="16" x14ac:dyDescent="0.2">
      <c r="A14" s="1">
        <v>13</v>
      </c>
      <c r="B14" s="1">
        <v>13</v>
      </c>
      <c r="C14" s="7">
        <v>44568</v>
      </c>
      <c r="D14" s="6">
        <v>45656</v>
      </c>
      <c r="E14" s="1">
        <v>32880</v>
      </c>
    </row>
    <row r="15" spans="1:5" ht="16" x14ac:dyDescent="0.2">
      <c r="A15" s="1">
        <v>13</v>
      </c>
      <c r="B15" s="1">
        <v>13</v>
      </c>
      <c r="C15" s="7">
        <v>44568</v>
      </c>
      <c r="D15" s="6">
        <v>45657</v>
      </c>
      <c r="E15" s="1">
        <v>32880</v>
      </c>
    </row>
    <row r="16" spans="1:5" ht="16" x14ac:dyDescent="0.2">
      <c r="A16" s="1">
        <v>14</v>
      </c>
      <c r="B16" s="1">
        <v>14</v>
      </c>
      <c r="C16" s="6">
        <v>38718</v>
      </c>
      <c r="D16" s="6">
        <v>45657</v>
      </c>
      <c r="E16" s="1">
        <v>32880</v>
      </c>
    </row>
    <row r="17" spans="1:5" ht="16" x14ac:dyDescent="0.2">
      <c r="A17" s="1">
        <v>15</v>
      </c>
      <c r="B17" s="1">
        <v>15</v>
      </c>
      <c r="C17" s="6">
        <v>44567</v>
      </c>
      <c r="D17" s="6">
        <v>45657</v>
      </c>
      <c r="E17" s="1">
        <v>32880</v>
      </c>
    </row>
    <row r="18" spans="1:5" ht="16" x14ac:dyDescent="0.2">
      <c r="A18" s="1">
        <v>16</v>
      </c>
      <c r="B18" s="1">
        <v>16</v>
      </c>
      <c r="C18" s="6">
        <v>38718</v>
      </c>
      <c r="D18" s="6">
        <v>45657</v>
      </c>
      <c r="E18" s="1">
        <v>32880</v>
      </c>
    </row>
    <row r="19" spans="1:5" ht="16" x14ac:dyDescent="0.2">
      <c r="A19" s="1">
        <v>17</v>
      </c>
      <c r="B19" s="1">
        <v>17</v>
      </c>
      <c r="C19" s="6">
        <v>38718</v>
      </c>
      <c r="D19" s="6">
        <v>45657</v>
      </c>
      <c r="E19" s="1">
        <v>32880</v>
      </c>
    </row>
    <row r="20" spans="1:5" ht="16" x14ac:dyDescent="0.2">
      <c r="A20" s="1">
        <v>18</v>
      </c>
      <c r="B20" s="1">
        <v>18</v>
      </c>
      <c r="C20" s="6">
        <v>38718</v>
      </c>
      <c r="D20" s="6">
        <v>45657</v>
      </c>
      <c r="E20" s="1">
        <v>32880</v>
      </c>
    </row>
    <row r="21" spans="1:5" ht="16" x14ac:dyDescent="0.2">
      <c r="A21" s="1">
        <v>19</v>
      </c>
      <c r="B21" s="1">
        <v>19</v>
      </c>
      <c r="C21" s="6">
        <v>38718</v>
      </c>
      <c r="D21" s="6">
        <v>45657</v>
      </c>
      <c r="E21" s="1">
        <v>32880</v>
      </c>
    </row>
    <row r="22" spans="1:5" ht="16" x14ac:dyDescent="0.2">
      <c r="A22" s="1">
        <v>100</v>
      </c>
      <c r="B22" s="1">
        <v>100</v>
      </c>
      <c r="C22" s="6">
        <v>38718</v>
      </c>
      <c r="D22" s="6">
        <v>45657</v>
      </c>
      <c r="E22" s="1">
        <v>32880</v>
      </c>
    </row>
    <row r="23" spans="1:5" ht="16" x14ac:dyDescent="0.2">
      <c r="A23" s="1">
        <v>102</v>
      </c>
      <c r="B23" s="1">
        <v>102</v>
      </c>
      <c r="C23" s="6">
        <v>38718</v>
      </c>
      <c r="D23" s="6">
        <v>45657</v>
      </c>
      <c r="E23" s="1">
        <v>32880</v>
      </c>
    </row>
    <row r="24" spans="1:5" ht="16" x14ac:dyDescent="0.2">
      <c r="A24" s="1">
        <v>25</v>
      </c>
      <c r="B24" s="1">
        <v>25</v>
      </c>
      <c r="C24" s="7">
        <v>44568</v>
      </c>
      <c r="D24" s="8">
        <v>45657</v>
      </c>
      <c r="E24" s="1">
        <v>32880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A0E5-6553-46ED-AC90-012DDE271310}">
  <dimension ref="A1:F20"/>
  <sheetViews>
    <sheetView workbookViewId="0">
      <selection activeCell="B20" sqref="B20"/>
    </sheetView>
  </sheetViews>
  <sheetFormatPr baseColWidth="10" defaultColWidth="8.83203125" defaultRowHeight="15" x14ac:dyDescent="0.2"/>
  <cols>
    <col min="3" max="3" width="18.1640625" bestFit="1" customWidth="1"/>
    <col min="4" max="4" width="17.33203125" style="8" bestFit="1" customWidth="1"/>
    <col min="5" max="5" width="16.6640625" style="8" bestFit="1" customWidth="1"/>
    <col min="6" max="6" width="22.5" bestFit="1" customWidth="1"/>
  </cols>
  <sheetData>
    <row r="1" spans="1:6" x14ac:dyDescent="0.2">
      <c r="A1" s="4" t="s">
        <v>29</v>
      </c>
      <c r="B1" s="4" t="s">
        <v>0</v>
      </c>
      <c r="C1" s="4" t="s">
        <v>30</v>
      </c>
      <c r="D1" s="12" t="s">
        <v>31</v>
      </c>
      <c r="E1" s="12" t="s">
        <v>32</v>
      </c>
      <c r="F1" s="4" t="s">
        <v>33</v>
      </c>
    </row>
    <row r="2" spans="1:6" ht="19" x14ac:dyDescent="0.25">
      <c r="A2" s="4">
        <v>1</v>
      </c>
      <c r="B2" s="1">
        <v>4</v>
      </c>
      <c r="C2" s="13">
        <v>4266662</v>
      </c>
      <c r="D2" s="6">
        <v>43174</v>
      </c>
      <c r="E2" s="6">
        <v>45657</v>
      </c>
      <c r="F2" s="11">
        <v>32817</v>
      </c>
    </row>
    <row r="3" spans="1:6" ht="19" x14ac:dyDescent="0.25">
      <c r="A3" s="4">
        <v>2</v>
      </c>
      <c r="B3" s="4">
        <v>13</v>
      </c>
      <c r="C3" s="13">
        <v>4266662</v>
      </c>
      <c r="D3" s="7">
        <v>44805</v>
      </c>
      <c r="E3" s="6">
        <v>45657</v>
      </c>
      <c r="F3" s="11">
        <v>32817</v>
      </c>
    </row>
    <row r="4" spans="1:6" ht="17" x14ac:dyDescent="0.2">
      <c r="A4" s="4">
        <v>3</v>
      </c>
      <c r="B4" s="1">
        <v>4</v>
      </c>
      <c r="C4" s="11">
        <v>4145947</v>
      </c>
      <c r="D4" s="6">
        <v>43174</v>
      </c>
      <c r="E4" s="6">
        <v>43174</v>
      </c>
      <c r="F4" s="11">
        <v>32817</v>
      </c>
    </row>
    <row r="5" spans="1:6" ht="17" x14ac:dyDescent="0.2">
      <c r="A5" s="4">
        <v>4</v>
      </c>
      <c r="B5" s="4">
        <v>13</v>
      </c>
      <c r="C5" s="11">
        <v>4145947</v>
      </c>
      <c r="D5" s="12">
        <v>44743</v>
      </c>
      <c r="E5" s="12">
        <v>44743</v>
      </c>
      <c r="F5" s="11">
        <v>32817</v>
      </c>
    </row>
    <row r="6" spans="1:6" ht="17" x14ac:dyDescent="0.2">
      <c r="A6" s="4">
        <v>5</v>
      </c>
      <c r="B6" s="4">
        <v>9</v>
      </c>
      <c r="C6" s="11">
        <v>4145947</v>
      </c>
      <c r="D6" s="12">
        <v>45108</v>
      </c>
      <c r="E6" s="12">
        <v>45108</v>
      </c>
      <c r="F6" s="11">
        <v>32818</v>
      </c>
    </row>
    <row r="7" spans="1:6" ht="17" x14ac:dyDescent="0.2">
      <c r="A7" s="4">
        <v>6</v>
      </c>
      <c r="B7" s="4">
        <v>9</v>
      </c>
      <c r="C7" s="11">
        <v>4145947</v>
      </c>
      <c r="D7" s="12">
        <v>45170</v>
      </c>
      <c r="E7" s="12">
        <v>45170</v>
      </c>
      <c r="F7" s="11">
        <v>32819</v>
      </c>
    </row>
    <row r="8" spans="1:6" ht="17" x14ac:dyDescent="0.2">
      <c r="A8" s="4">
        <v>7</v>
      </c>
      <c r="B8" s="4">
        <v>11</v>
      </c>
      <c r="C8" s="11">
        <v>4145947</v>
      </c>
      <c r="D8" s="12">
        <v>44743</v>
      </c>
      <c r="E8" s="12">
        <v>44743</v>
      </c>
      <c r="F8" s="11">
        <v>32820</v>
      </c>
    </row>
    <row r="9" spans="1:6" ht="17" x14ac:dyDescent="0.2">
      <c r="A9" s="4">
        <v>8</v>
      </c>
      <c r="B9" s="4">
        <v>11</v>
      </c>
      <c r="C9" s="11">
        <v>4145947</v>
      </c>
      <c r="D9" s="12">
        <v>44744</v>
      </c>
      <c r="E9" s="12">
        <v>44806</v>
      </c>
      <c r="F9" s="11">
        <v>32821</v>
      </c>
    </row>
    <row r="10" spans="1:6" ht="17" x14ac:dyDescent="0.2">
      <c r="A10" s="4">
        <v>9</v>
      </c>
      <c r="B10" s="4">
        <v>14</v>
      </c>
      <c r="C10" s="11">
        <v>4145947</v>
      </c>
      <c r="D10" s="12">
        <v>44743</v>
      </c>
      <c r="E10" s="12">
        <v>44743</v>
      </c>
      <c r="F10" s="11">
        <v>32822</v>
      </c>
    </row>
    <row r="11" spans="1:6" ht="17" x14ac:dyDescent="0.2">
      <c r="A11" s="4">
        <v>10</v>
      </c>
      <c r="B11" s="4">
        <v>14</v>
      </c>
      <c r="C11" s="11">
        <v>4145947</v>
      </c>
      <c r="D11" s="12">
        <v>44744</v>
      </c>
      <c r="E11" s="12">
        <v>44744</v>
      </c>
      <c r="F11" s="11">
        <v>32823</v>
      </c>
    </row>
    <row r="12" spans="1:6" ht="17" x14ac:dyDescent="0.2">
      <c r="A12" s="4">
        <v>11</v>
      </c>
      <c r="B12" s="4">
        <v>14</v>
      </c>
      <c r="C12" s="11">
        <v>4145947</v>
      </c>
      <c r="D12" s="12">
        <v>43862</v>
      </c>
      <c r="E12" s="12">
        <v>43862</v>
      </c>
      <c r="F12" s="11">
        <v>32824</v>
      </c>
    </row>
    <row r="13" spans="1:6" ht="17" x14ac:dyDescent="0.2">
      <c r="A13" s="4">
        <v>12</v>
      </c>
      <c r="B13" s="4">
        <v>17</v>
      </c>
      <c r="C13" s="11">
        <v>4145947</v>
      </c>
      <c r="D13" s="12">
        <v>45108</v>
      </c>
      <c r="E13" s="12">
        <v>45108</v>
      </c>
      <c r="F13" s="11">
        <v>32825</v>
      </c>
    </row>
    <row r="14" spans="1:6" ht="17" x14ac:dyDescent="0.2">
      <c r="A14" s="4">
        <v>13</v>
      </c>
      <c r="B14" s="4">
        <v>17</v>
      </c>
      <c r="C14" s="11">
        <v>4145947</v>
      </c>
      <c r="D14" s="12">
        <v>45413</v>
      </c>
      <c r="E14" s="12">
        <v>45413</v>
      </c>
      <c r="F14" s="11">
        <v>32826</v>
      </c>
    </row>
    <row r="15" spans="1:6" ht="17" x14ac:dyDescent="0.2">
      <c r="A15" s="4">
        <v>14</v>
      </c>
      <c r="B15" s="4">
        <v>17</v>
      </c>
      <c r="C15" s="11">
        <v>4145947</v>
      </c>
      <c r="D15" s="12">
        <v>45474</v>
      </c>
      <c r="E15" s="12">
        <v>45474</v>
      </c>
      <c r="F15" s="11">
        <v>32827</v>
      </c>
    </row>
    <row r="16" spans="1:6" ht="17" x14ac:dyDescent="0.2">
      <c r="A16" s="4">
        <v>15</v>
      </c>
      <c r="B16" s="4">
        <v>100</v>
      </c>
      <c r="C16" s="11">
        <v>4145947</v>
      </c>
      <c r="D16" s="12">
        <v>44594</v>
      </c>
      <c r="E16" s="12">
        <v>44594</v>
      </c>
      <c r="F16" s="11">
        <v>32828</v>
      </c>
    </row>
    <row r="17" spans="1:6" ht="17" x14ac:dyDescent="0.2">
      <c r="A17" s="4">
        <v>16</v>
      </c>
      <c r="B17" s="4">
        <v>100</v>
      </c>
      <c r="C17" s="11">
        <v>4145947</v>
      </c>
      <c r="D17" s="12">
        <v>44621</v>
      </c>
      <c r="E17" s="12">
        <v>44621</v>
      </c>
      <c r="F17" s="11">
        <v>32829</v>
      </c>
    </row>
    <row r="18" spans="1:6" ht="17" x14ac:dyDescent="0.2">
      <c r="A18" s="4">
        <v>17</v>
      </c>
      <c r="B18" s="4">
        <v>100</v>
      </c>
      <c r="C18" s="11">
        <v>4145947</v>
      </c>
      <c r="D18" s="12">
        <v>44440</v>
      </c>
      <c r="E18" s="12">
        <v>44440</v>
      </c>
      <c r="F18" s="11">
        <v>32830</v>
      </c>
    </row>
    <row r="19" spans="1:6" ht="17" x14ac:dyDescent="0.2">
      <c r="A19" s="4">
        <v>18</v>
      </c>
      <c r="B19" s="4">
        <v>102</v>
      </c>
      <c r="C19" s="11">
        <v>4145947</v>
      </c>
      <c r="D19" s="12">
        <v>44743</v>
      </c>
      <c r="E19" s="12">
        <v>44743</v>
      </c>
      <c r="F19" s="11">
        <v>32820</v>
      </c>
    </row>
    <row r="20" spans="1:6" ht="17" x14ac:dyDescent="0.2">
      <c r="A20" s="4">
        <v>19</v>
      </c>
      <c r="B20" s="4">
        <v>103</v>
      </c>
      <c r="C20" s="11">
        <v>4145947</v>
      </c>
      <c r="D20" s="12">
        <v>44744</v>
      </c>
      <c r="E20" s="12">
        <v>44806</v>
      </c>
      <c r="F20" s="11">
        <v>32821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E543-FC05-4844-9753-12567E4D8F20}">
  <dimension ref="A1:F47"/>
  <sheetViews>
    <sheetView workbookViewId="0">
      <selection activeCell="F47" sqref="F47"/>
    </sheetView>
  </sheetViews>
  <sheetFormatPr baseColWidth="10" defaultColWidth="11.5" defaultRowHeight="15" x14ac:dyDescent="0.2"/>
  <cols>
    <col min="1" max="1" width="26" style="2" customWidth="1"/>
    <col min="3" max="3" width="19.6640625" style="2" customWidth="1"/>
    <col min="4" max="4" width="15.1640625" customWidth="1"/>
    <col min="5" max="5" width="21.33203125" customWidth="1"/>
  </cols>
  <sheetData>
    <row r="1" spans="1:6" x14ac:dyDescent="0.2">
      <c r="A1" s="4" t="s">
        <v>16</v>
      </c>
      <c r="B1" s="4" t="s">
        <v>18</v>
      </c>
      <c r="C1" s="4" t="s">
        <v>17</v>
      </c>
      <c r="D1" s="4" t="s">
        <v>19</v>
      </c>
      <c r="E1" t="s">
        <v>20</v>
      </c>
      <c r="F1" s="4"/>
    </row>
    <row r="2" spans="1:6" x14ac:dyDescent="0.2">
      <c r="A2" s="5">
        <v>1147314</v>
      </c>
      <c r="B2" s="4">
        <v>1</v>
      </c>
      <c r="C2" s="5">
        <v>1147314</v>
      </c>
      <c r="D2" s="4">
        <v>3</v>
      </c>
      <c r="E2">
        <v>40485452</v>
      </c>
    </row>
    <row r="3" spans="1:6" x14ac:dyDescent="0.2">
      <c r="A3" s="3">
        <v>1147314</v>
      </c>
      <c r="B3">
        <v>1</v>
      </c>
      <c r="C3" s="3">
        <v>1147314</v>
      </c>
      <c r="D3">
        <v>4</v>
      </c>
      <c r="E3">
        <v>40485452</v>
      </c>
    </row>
    <row r="4" spans="1:6" x14ac:dyDescent="0.2">
      <c r="A4" s="3">
        <v>1147314</v>
      </c>
      <c r="B4">
        <v>1</v>
      </c>
      <c r="C4" s="3">
        <v>1147314</v>
      </c>
      <c r="D4">
        <v>5</v>
      </c>
      <c r="E4">
        <v>4285883</v>
      </c>
    </row>
    <row r="5" spans="1:6" x14ac:dyDescent="0.2">
      <c r="A5" s="3">
        <v>1147314</v>
      </c>
      <c r="B5">
        <v>2</v>
      </c>
      <c r="C5" s="3">
        <v>1147314</v>
      </c>
      <c r="D5">
        <v>3</v>
      </c>
      <c r="E5">
        <v>40485452</v>
      </c>
    </row>
    <row r="6" spans="1:6" x14ac:dyDescent="0.2">
      <c r="A6" s="3">
        <v>1147314</v>
      </c>
      <c r="B6">
        <v>2</v>
      </c>
      <c r="C6" s="3">
        <v>1147314</v>
      </c>
      <c r="D6">
        <v>4</v>
      </c>
      <c r="E6">
        <v>40485452</v>
      </c>
    </row>
    <row r="7" spans="1:6" x14ac:dyDescent="0.2">
      <c r="A7" s="3">
        <v>1147314</v>
      </c>
      <c r="B7">
        <v>2</v>
      </c>
      <c r="C7" s="3">
        <v>1147314</v>
      </c>
      <c r="D7">
        <v>5</v>
      </c>
      <c r="E7">
        <v>4285883</v>
      </c>
    </row>
    <row r="8" spans="1:6" x14ac:dyDescent="0.2">
      <c r="A8" s="3">
        <v>1147314</v>
      </c>
      <c r="B8">
        <v>3</v>
      </c>
      <c r="C8" s="3">
        <v>1147314</v>
      </c>
      <c r="D8">
        <v>1</v>
      </c>
      <c r="E8">
        <v>40485452</v>
      </c>
    </row>
    <row r="9" spans="1:6" x14ac:dyDescent="0.2">
      <c r="A9" s="3">
        <v>1147314</v>
      </c>
      <c r="B9">
        <v>3</v>
      </c>
      <c r="C9" s="3">
        <v>1147314</v>
      </c>
      <c r="D9">
        <v>2</v>
      </c>
      <c r="E9">
        <v>40485452</v>
      </c>
    </row>
    <row r="10" spans="1:6" x14ac:dyDescent="0.2">
      <c r="A10" s="3">
        <v>1147314</v>
      </c>
      <c r="B10">
        <v>4</v>
      </c>
      <c r="C10" s="3">
        <v>1147314</v>
      </c>
      <c r="D10">
        <v>1</v>
      </c>
      <c r="E10">
        <v>40485452</v>
      </c>
    </row>
    <row r="11" spans="1:6" x14ac:dyDescent="0.2">
      <c r="A11" s="3">
        <v>1147314</v>
      </c>
      <c r="B11">
        <v>4</v>
      </c>
      <c r="C11" s="3">
        <v>1147314</v>
      </c>
      <c r="D11">
        <v>2</v>
      </c>
      <c r="E11">
        <v>40485452</v>
      </c>
    </row>
    <row r="12" spans="1:6" x14ac:dyDescent="0.2">
      <c r="A12" s="3">
        <v>1147314</v>
      </c>
      <c r="B12">
        <v>5</v>
      </c>
      <c r="C12" s="3">
        <v>1147314</v>
      </c>
      <c r="D12">
        <v>1</v>
      </c>
      <c r="E12">
        <v>40485452</v>
      </c>
    </row>
    <row r="13" spans="1:6" x14ac:dyDescent="0.2">
      <c r="A13" s="3">
        <v>1147314</v>
      </c>
      <c r="B13">
        <v>5</v>
      </c>
      <c r="C13" s="3">
        <v>1147314</v>
      </c>
      <c r="D13">
        <v>2</v>
      </c>
      <c r="E13">
        <v>40485452</v>
      </c>
    </row>
    <row r="14" spans="1:6" x14ac:dyDescent="0.2">
      <c r="A14" s="3">
        <v>1147314</v>
      </c>
      <c r="B14">
        <v>6</v>
      </c>
      <c r="C14" s="3">
        <v>1147314</v>
      </c>
      <c r="D14">
        <v>7</v>
      </c>
      <c r="E14">
        <v>4285883</v>
      </c>
    </row>
    <row r="15" spans="1:6" x14ac:dyDescent="0.2">
      <c r="A15" s="3">
        <v>1147314</v>
      </c>
      <c r="B15">
        <v>6</v>
      </c>
      <c r="C15" s="3">
        <v>1147314</v>
      </c>
      <c r="D15">
        <v>8</v>
      </c>
      <c r="E15">
        <v>40485452</v>
      </c>
    </row>
    <row r="16" spans="1:6" x14ac:dyDescent="0.2">
      <c r="A16" s="3">
        <v>1147314</v>
      </c>
      <c r="B16">
        <v>7</v>
      </c>
      <c r="C16" s="3">
        <v>1147314</v>
      </c>
      <c r="D16">
        <v>6</v>
      </c>
      <c r="E16">
        <v>40485452</v>
      </c>
    </row>
    <row r="17" spans="1:5" x14ac:dyDescent="0.2">
      <c r="A17" s="3">
        <v>1147314</v>
      </c>
      <c r="B17">
        <v>8</v>
      </c>
      <c r="C17" s="3">
        <v>1147314</v>
      </c>
      <c r="D17">
        <v>6</v>
      </c>
      <c r="E17">
        <v>40485452</v>
      </c>
    </row>
    <row r="18" spans="1:5" x14ac:dyDescent="0.2">
      <c r="A18" s="3">
        <v>1147314</v>
      </c>
      <c r="B18">
        <v>11</v>
      </c>
      <c r="C18" s="3">
        <v>1147314</v>
      </c>
      <c r="D18">
        <v>12</v>
      </c>
      <c r="E18">
        <v>40485452</v>
      </c>
    </row>
    <row r="19" spans="1:5" x14ac:dyDescent="0.2">
      <c r="A19" s="3">
        <v>1147314</v>
      </c>
      <c r="B19">
        <v>11</v>
      </c>
      <c r="C19" s="3">
        <v>1147314</v>
      </c>
      <c r="D19">
        <v>13</v>
      </c>
      <c r="E19">
        <v>40485452</v>
      </c>
    </row>
    <row r="20" spans="1:5" x14ac:dyDescent="0.2">
      <c r="A20" s="3">
        <v>1147314</v>
      </c>
      <c r="B20">
        <v>12</v>
      </c>
      <c r="C20" s="3">
        <v>1147314</v>
      </c>
      <c r="D20">
        <v>11</v>
      </c>
      <c r="E20">
        <v>40485452</v>
      </c>
    </row>
    <row r="21" spans="1:5" x14ac:dyDescent="0.2">
      <c r="A21" s="3">
        <v>1147314</v>
      </c>
      <c r="B21">
        <v>12</v>
      </c>
      <c r="C21" s="3">
        <v>1147314</v>
      </c>
      <c r="D21">
        <v>11</v>
      </c>
      <c r="E21">
        <v>40485452</v>
      </c>
    </row>
    <row r="22" spans="1:5" x14ac:dyDescent="0.2">
      <c r="A22" s="3">
        <v>1147314</v>
      </c>
      <c r="B22">
        <v>13</v>
      </c>
      <c r="C22" s="3">
        <v>1147314</v>
      </c>
      <c r="D22">
        <v>11</v>
      </c>
      <c r="E22">
        <v>40485452</v>
      </c>
    </row>
    <row r="23" spans="1:5" x14ac:dyDescent="0.2">
      <c r="A23" s="3">
        <v>1147314</v>
      </c>
      <c r="B23">
        <v>14</v>
      </c>
      <c r="C23" s="3">
        <v>1147314</v>
      </c>
      <c r="D23">
        <v>15</v>
      </c>
      <c r="E23">
        <v>40485452</v>
      </c>
    </row>
    <row r="24" spans="1:5" x14ac:dyDescent="0.2">
      <c r="A24" s="3">
        <v>1147314</v>
      </c>
      <c r="B24">
        <v>15</v>
      </c>
      <c r="C24" s="3">
        <v>1147314</v>
      </c>
      <c r="D24">
        <v>14</v>
      </c>
      <c r="E24">
        <v>4285883</v>
      </c>
    </row>
    <row r="25" spans="1:5" x14ac:dyDescent="0.2">
      <c r="A25" s="5">
        <v>1147314</v>
      </c>
      <c r="B25" s="4">
        <v>1</v>
      </c>
      <c r="C25" s="5">
        <v>1147314</v>
      </c>
      <c r="D25" s="4">
        <v>3</v>
      </c>
      <c r="E25">
        <v>4326600</v>
      </c>
    </row>
    <row r="26" spans="1:5" x14ac:dyDescent="0.2">
      <c r="A26" s="3">
        <v>1147314</v>
      </c>
      <c r="B26">
        <v>1</v>
      </c>
      <c r="C26" s="3">
        <v>1147314</v>
      </c>
      <c r="D26">
        <v>4</v>
      </c>
      <c r="E26">
        <v>4326600</v>
      </c>
    </row>
    <row r="27" spans="1:5" x14ac:dyDescent="0.2">
      <c r="A27" s="3">
        <v>1147314</v>
      </c>
      <c r="B27">
        <v>1</v>
      </c>
      <c r="C27" s="3">
        <v>1147314</v>
      </c>
      <c r="D27">
        <v>5</v>
      </c>
      <c r="E27">
        <v>4326600</v>
      </c>
    </row>
    <row r="28" spans="1:5" x14ac:dyDescent="0.2">
      <c r="A28" s="3">
        <v>1147314</v>
      </c>
      <c r="B28">
        <v>2</v>
      </c>
      <c r="C28" s="3">
        <v>1147314</v>
      </c>
      <c r="D28">
        <v>3</v>
      </c>
      <c r="E28">
        <v>4326600</v>
      </c>
    </row>
    <row r="29" spans="1:5" x14ac:dyDescent="0.2">
      <c r="A29" s="3">
        <v>1147314</v>
      </c>
      <c r="B29">
        <v>2</v>
      </c>
      <c r="C29" s="3">
        <v>1147314</v>
      </c>
      <c r="D29">
        <v>4</v>
      </c>
      <c r="E29">
        <v>4326600</v>
      </c>
    </row>
    <row r="30" spans="1:5" x14ac:dyDescent="0.2">
      <c r="A30" s="3">
        <v>1147314</v>
      </c>
      <c r="B30">
        <v>2</v>
      </c>
      <c r="C30" s="3">
        <v>1147314</v>
      </c>
      <c r="D30">
        <v>5</v>
      </c>
      <c r="E30">
        <v>4326600</v>
      </c>
    </row>
    <row r="31" spans="1:5" x14ac:dyDescent="0.2">
      <c r="A31" s="3">
        <v>1147314</v>
      </c>
      <c r="B31">
        <v>3</v>
      </c>
      <c r="C31" s="3">
        <v>1147314</v>
      </c>
      <c r="D31">
        <v>1</v>
      </c>
      <c r="E31">
        <v>4326600</v>
      </c>
    </row>
    <row r="32" spans="1:5" x14ac:dyDescent="0.2">
      <c r="A32" s="3">
        <v>1147314</v>
      </c>
      <c r="B32">
        <v>3</v>
      </c>
      <c r="C32" s="3">
        <v>1147314</v>
      </c>
      <c r="D32">
        <v>2</v>
      </c>
      <c r="E32">
        <v>4326600</v>
      </c>
    </row>
    <row r="33" spans="1:5" x14ac:dyDescent="0.2">
      <c r="A33" s="3">
        <v>1147314</v>
      </c>
      <c r="B33">
        <v>4</v>
      </c>
      <c r="C33" s="3">
        <v>1147314</v>
      </c>
      <c r="D33">
        <v>1</v>
      </c>
      <c r="E33">
        <v>4326600</v>
      </c>
    </row>
    <row r="34" spans="1:5" x14ac:dyDescent="0.2">
      <c r="A34" s="3">
        <v>1147314</v>
      </c>
      <c r="B34">
        <v>4</v>
      </c>
      <c r="C34" s="3">
        <v>1147314</v>
      </c>
      <c r="D34">
        <v>2</v>
      </c>
      <c r="E34">
        <v>4326600</v>
      </c>
    </row>
    <row r="35" spans="1:5" x14ac:dyDescent="0.2">
      <c r="A35" s="3">
        <v>1147314</v>
      </c>
      <c r="B35">
        <v>5</v>
      </c>
      <c r="C35" s="3">
        <v>1147314</v>
      </c>
      <c r="D35">
        <v>1</v>
      </c>
      <c r="E35">
        <v>4326600</v>
      </c>
    </row>
    <row r="36" spans="1:5" x14ac:dyDescent="0.2">
      <c r="A36" s="3">
        <v>1147314</v>
      </c>
      <c r="B36">
        <v>5</v>
      </c>
      <c r="C36" s="3">
        <v>1147314</v>
      </c>
      <c r="D36">
        <v>2</v>
      </c>
      <c r="E36">
        <v>4326600</v>
      </c>
    </row>
    <row r="37" spans="1:5" x14ac:dyDescent="0.2">
      <c r="A37" s="3">
        <v>1147314</v>
      </c>
      <c r="B37">
        <v>6</v>
      </c>
      <c r="C37" s="3">
        <v>1147314</v>
      </c>
      <c r="D37">
        <v>7</v>
      </c>
      <c r="E37">
        <v>4326600</v>
      </c>
    </row>
    <row r="38" spans="1:5" x14ac:dyDescent="0.2">
      <c r="A38" s="3">
        <v>1147314</v>
      </c>
      <c r="B38">
        <v>6</v>
      </c>
      <c r="C38" s="3">
        <v>1147314</v>
      </c>
      <c r="D38">
        <v>8</v>
      </c>
      <c r="E38">
        <v>4326600</v>
      </c>
    </row>
    <row r="39" spans="1:5" x14ac:dyDescent="0.2">
      <c r="A39" s="3">
        <v>1147314</v>
      </c>
      <c r="B39">
        <v>7</v>
      </c>
      <c r="C39" s="3">
        <v>1147314</v>
      </c>
      <c r="D39">
        <v>6</v>
      </c>
      <c r="E39">
        <v>4326600</v>
      </c>
    </row>
    <row r="40" spans="1:5" x14ac:dyDescent="0.2">
      <c r="A40" s="3">
        <v>1147314</v>
      </c>
      <c r="B40">
        <v>8</v>
      </c>
      <c r="C40" s="3">
        <v>1147314</v>
      </c>
      <c r="D40">
        <v>6</v>
      </c>
      <c r="E40">
        <v>4326600</v>
      </c>
    </row>
    <row r="41" spans="1:5" x14ac:dyDescent="0.2">
      <c r="A41" s="3">
        <v>1147314</v>
      </c>
      <c r="B41">
        <v>11</v>
      </c>
      <c r="C41" s="3">
        <v>1147314</v>
      </c>
      <c r="D41">
        <v>12</v>
      </c>
      <c r="E41">
        <v>4326600</v>
      </c>
    </row>
    <row r="42" spans="1:5" x14ac:dyDescent="0.2">
      <c r="A42" s="3">
        <v>1147314</v>
      </c>
      <c r="B42">
        <v>11</v>
      </c>
      <c r="C42" s="3">
        <v>1147314</v>
      </c>
      <c r="D42">
        <v>13</v>
      </c>
      <c r="E42">
        <v>4326600</v>
      </c>
    </row>
    <row r="43" spans="1:5" x14ac:dyDescent="0.2">
      <c r="A43" s="3">
        <v>1147314</v>
      </c>
      <c r="B43">
        <v>12</v>
      </c>
      <c r="C43" s="3">
        <v>1147314</v>
      </c>
      <c r="D43">
        <v>11</v>
      </c>
      <c r="E43">
        <v>4326600</v>
      </c>
    </row>
    <row r="44" spans="1:5" x14ac:dyDescent="0.2">
      <c r="A44" s="3">
        <v>1147314</v>
      </c>
      <c r="B44">
        <v>13</v>
      </c>
      <c r="C44" s="3">
        <v>1147314</v>
      </c>
      <c r="D44">
        <v>11</v>
      </c>
      <c r="E44">
        <v>4326600</v>
      </c>
    </row>
    <row r="45" spans="1:5" x14ac:dyDescent="0.2">
      <c r="A45" s="3">
        <v>1147314</v>
      </c>
      <c r="B45">
        <v>14</v>
      </c>
      <c r="C45" s="3">
        <v>1147314</v>
      </c>
      <c r="D45">
        <v>15</v>
      </c>
      <c r="E45">
        <v>4326600</v>
      </c>
    </row>
    <row r="46" spans="1:5" x14ac:dyDescent="0.2">
      <c r="A46" s="3">
        <v>1147314</v>
      </c>
      <c r="B46">
        <v>15</v>
      </c>
      <c r="C46" s="3">
        <v>1147314</v>
      </c>
      <c r="D46">
        <v>14</v>
      </c>
      <c r="E46">
        <v>4326600</v>
      </c>
    </row>
    <row r="47" spans="1:5" x14ac:dyDescent="0.2">
      <c r="A47" s="3">
        <v>1147314</v>
      </c>
      <c r="B47">
        <v>25</v>
      </c>
      <c r="C47" s="3">
        <v>1147314</v>
      </c>
      <c r="D47">
        <v>30</v>
      </c>
      <c r="E47">
        <v>40485452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30A8-567B-4323-A592-DE69C7B5ECB2}">
  <dimension ref="A1:U4"/>
  <sheetViews>
    <sheetView workbookViewId="0">
      <selection activeCell="G15" sqref="G15"/>
    </sheetView>
  </sheetViews>
  <sheetFormatPr baseColWidth="10" defaultColWidth="8.83203125" defaultRowHeight="15" x14ac:dyDescent="0.2"/>
  <cols>
    <col min="1" max="1" width="15" bestFit="1" customWidth="1"/>
    <col min="2" max="2" width="9" bestFit="1" customWidth="1"/>
    <col min="3" max="3" width="22.5" bestFit="1" customWidth="1"/>
    <col min="4" max="4" width="10.5" bestFit="1" customWidth="1"/>
    <col min="5" max="5" width="21.1640625" bestFit="1" customWidth="1"/>
    <col min="6" max="6" width="17.33203125" bestFit="1" customWidth="1"/>
    <col min="7" max="7" width="27.5" customWidth="1"/>
    <col min="10" max="10" width="15.5" bestFit="1" customWidth="1"/>
  </cols>
  <sheetData>
    <row r="1" spans="1:21" x14ac:dyDescent="0.2">
      <c r="A1" t="s">
        <v>34</v>
      </c>
      <c r="B1" t="s">
        <v>0</v>
      </c>
      <c r="C1" t="s">
        <v>39</v>
      </c>
      <c r="D1" t="s">
        <v>40</v>
      </c>
      <c r="E1" t="s">
        <v>35</v>
      </c>
      <c r="F1" t="s">
        <v>41</v>
      </c>
      <c r="G1" t="s">
        <v>42</v>
      </c>
      <c r="H1" t="s">
        <v>43</v>
      </c>
      <c r="J1" t="s">
        <v>36</v>
      </c>
      <c r="K1" t="s">
        <v>44</v>
      </c>
      <c r="L1" t="s">
        <v>45</v>
      </c>
      <c r="M1" t="s">
        <v>46</v>
      </c>
      <c r="N1" t="s">
        <v>37</v>
      </c>
      <c r="O1" t="s">
        <v>47</v>
      </c>
      <c r="P1" t="s">
        <v>48</v>
      </c>
      <c r="Q1" t="s">
        <v>49</v>
      </c>
      <c r="R1" t="s">
        <v>38</v>
      </c>
      <c r="S1" t="s">
        <v>50</v>
      </c>
      <c r="T1" t="s">
        <v>51</v>
      </c>
      <c r="U1" t="s">
        <v>52</v>
      </c>
    </row>
    <row r="2" spans="1:21" ht="16" x14ac:dyDescent="0.2">
      <c r="A2">
        <v>1</v>
      </c>
      <c r="B2">
        <v>5</v>
      </c>
      <c r="C2">
        <v>4264825</v>
      </c>
      <c r="D2" s="9">
        <v>43735</v>
      </c>
      <c r="J2">
        <v>4000</v>
      </c>
    </row>
    <row r="3" spans="1:21" ht="16" x14ac:dyDescent="0.2">
      <c r="A3">
        <v>2</v>
      </c>
      <c r="B3">
        <v>5</v>
      </c>
      <c r="C3">
        <v>3004221</v>
      </c>
      <c r="D3" s="9">
        <v>43735</v>
      </c>
      <c r="J3">
        <v>6</v>
      </c>
    </row>
    <row r="4" spans="1:21" ht="16" x14ac:dyDescent="0.2">
      <c r="A4">
        <v>2</v>
      </c>
      <c r="B4">
        <v>4</v>
      </c>
      <c r="C4">
        <v>3004221</v>
      </c>
      <c r="D4" s="9">
        <v>43735</v>
      </c>
      <c r="J4">
        <v>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CCA6-1E90-4542-A320-9B59DFDDE9AE}">
  <dimension ref="A1:K14"/>
  <sheetViews>
    <sheetView tabSelected="1" workbookViewId="0">
      <selection activeCell="F27" sqref="F27"/>
    </sheetView>
  </sheetViews>
  <sheetFormatPr baseColWidth="10" defaultColWidth="11.5" defaultRowHeight="15" x14ac:dyDescent="0.2"/>
  <cols>
    <col min="1" max="1" width="13.5" customWidth="1"/>
    <col min="6" max="6" width="24.6640625" customWidth="1"/>
    <col min="7" max="7" width="15" customWidth="1"/>
    <col min="11" max="11" width="29.1640625" customWidth="1"/>
  </cols>
  <sheetData>
    <row r="1" spans="1:11" ht="16" x14ac:dyDescent="0.2">
      <c r="A1" t="s">
        <v>14</v>
      </c>
      <c r="B1" t="s">
        <v>15</v>
      </c>
      <c r="C1" t="s">
        <v>0</v>
      </c>
      <c r="D1" t="s">
        <v>24</v>
      </c>
      <c r="E1" t="s">
        <v>25</v>
      </c>
      <c r="F1" s="1" t="s">
        <v>26</v>
      </c>
      <c r="G1" t="s">
        <v>27</v>
      </c>
      <c r="H1" t="s">
        <v>28</v>
      </c>
    </row>
    <row r="2" spans="1:11" ht="16" x14ac:dyDescent="0.2">
      <c r="A2" s="1">
        <v>1</v>
      </c>
      <c r="B2" s="1">
        <v>3</v>
      </c>
      <c r="C2" s="1">
        <v>3</v>
      </c>
      <c r="D2">
        <v>4092289</v>
      </c>
      <c r="E2" s="1">
        <v>2500</v>
      </c>
      <c r="F2" s="1">
        <v>4188540</v>
      </c>
      <c r="G2" s="1">
        <v>4188540</v>
      </c>
      <c r="H2" s="1">
        <v>10</v>
      </c>
      <c r="K2" s="4"/>
    </row>
    <row r="3" spans="1:11" ht="16" x14ac:dyDescent="0.2">
      <c r="A3" s="1">
        <v>1</v>
      </c>
      <c r="B3" s="1">
        <v>3</v>
      </c>
      <c r="C3" s="1">
        <v>3</v>
      </c>
      <c r="D3">
        <v>4092289</v>
      </c>
      <c r="E3" s="1">
        <v>2500</v>
      </c>
      <c r="F3" s="1">
        <v>4188540</v>
      </c>
      <c r="G3" s="1">
        <v>4188540</v>
      </c>
      <c r="H3" s="1">
        <v>10</v>
      </c>
      <c r="K3" s="4"/>
    </row>
    <row r="4" spans="1:11" ht="16" x14ac:dyDescent="0.2">
      <c r="A4" s="1">
        <v>2</v>
      </c>
      <c r="B4" s="1">
        <v>4</v>
      </c>
      <c r="C4" s="1">
        <v>4</v>
      </c>
      <c r="D4">
        <v>4092289</v>
      </c>
      <c r="E4" s="1">
        <v>3000</v>
      </c>
      <c r="F4" s="1">
        <v>4188539</v>
      </c>
      <c r="G4" s="1">
        <v>4188539</v>
      </c>
      <c r="H4" s="1">
        <v>10</v>
      </c>
      <c r="K4" s="4"/>
    </row>
    <row r="5" spans="1:11" ht="16" x14ac:dyDescent="0.2">
      <c r="A5" s="1">
        <v>3</v>
      </c>
      <c r="B5" s="1">
        <v>5</v>
      </c>
      <c r="C5" s="1">
        <v>5</v>
      </c>
      <c r="D5">
        <v>4092289</v>
      </c>
      <c r="E5" s="1">
        <v>0</v>
      </c>
      <c r="F5" s="1">
        <v>4188540</v>
      </c>
      <c r="G5" s="1">
        <v>4188540</v>
      </c>
      <c r="H5" s="1">
        <v>6</v>
      </c>
      <c r="K5" s="4"/>
    </row>
    <row r="6" spans="1:11" ht="16" x14ac:dyDescent="0.2">
      <c r="A6" s="1">
        <v>6</v>
      </c>
      <c r="B6" s="1">
        <v>12</v>
      </c>
      <c r="C6" s="1">
        <v>12</v>
      </c>
      <c r="D6">
        <v>4092289</v>
      </c>
      <c r="E6" s="1">
        <v>9999</v>
      </c>
      <c r="F6" s="1">
        <v>4188540</v>
      </c>
      <c r="G6" s="1">
        <v>4188540</v>
      </c>
      <c r="H6" s="1">
        <v>101</v>
      </c>
    </row>
    <row r="7" spans="1:11" ht="16" x14ac:dyDescent="0.2">
      <c r="A7" s="1">
        <v>6</v>
      </c>
      <c r="B7" s="1">
        <v>13</v>
      </c>
      <c r="C7" s="1">
        <v>13</v>
      </c>
      <c r="D7">
        <v>4092289</v>
      </c>
      <c r="E7" s="1">
        <v>9999</v>
      </c>
      <c r="F7" s="1">
        <v>4188539</v>
      </c>
      <c r="G7" s="1">
        <v>4188539</v>
      </c>
      <c r="H7" s="1">
        <v>101</v>
      </c>
    </row>
    <row r="8" spans="1:11" ht="16" x14ac:dyDescent="0.2">
      <c r="A8" s="1">
        <v>7</v>
      </c>
      <c r="B8" s="1">
        <v>15</v>
      </c>
      <c r="C8" s="1">
        <v>15</v>
      </c>
      <c r="D8">
        <v>4092289</v>
      </c>
      <c r="E8" s="1"/>
      <c r="F8" s="1"/>
      <c r="G8" s="1"/>
      <c r="H8" s="1"/>
    </row>
    <row r="9" spans="1:11" ht="16" x14ac:dyDescent="0.2">
      <c r="A9" s="1">
        <v>8</v>
      </c>
      <c r="B9" s="1">
        <v>111</v>
      </c>
      <c r="C9" s="1">
        <v>111</v>
      </c>
      <c r="D9">
        <v>443213</v>
      </c>
      <c r="E9" s="1"/>
      <c r="F9" s="1"/>
      <c r="G9" s="1"/>
      <c r="H9" s="1"/>
    </row>
    <row r="10" spans="1:11" ht="16" x14ac:dyDescent="0.2">
      <c r="A10" s="1">
        <v>8</v>
      </c>
      <c r="B10" s="1">
        <v>111</v>
      </c>
      <c r="C10" s="1">
        <v>111</v>
      </c>
      <c r="D10">
        <v>443213</v>
      </c>
    </row>
    <row r="11" spans="1:11" ht="16" x14ac:dyDescent="0.2">
      <c r="A11" s="1">
        <v>9</v>
      </c>
      <c r="B11" s="1">
        <v>16</v>
      </c>
      <c r="C11" s="1">
        <v>16</v>
      </c>
      <c r="D11">
        <v>443213</v>
      </c>
      <c r="E11" s="1">
        <v>3000</v>
      </c>
      <c r="F11" s="1">
        <v>4188539</v>
      </c>
      <c r="G11" s="1">
        <v>4188539</v>
      </c>
      <c r="H11" s="1">
        <v>7</v>
      </c>
    </row>
    <row r="12" spans="1:11" ht="16" x14ac:dyDescent="0.2">
      <c r="A12" s="1">
        <v>72</v>
      </c>
      <c r="B12" s="1">
        <v>17</v>
      </c>
      <c r="C12" s="1">
        <v>17</v>
      </c>
      <c r="D12">
        <v>4092289</v>
      </c>
      <c r="E12" s="1">
        <v>4000</v>
      </c>
      <c r="F12" s="1">
        <v>4188540</v>
      </c>
      <c r="G12" s="1">
        <v>4188540</v>
      </c>
      <c r="H12" s="1">
        <v>10</v>
      </c>
    </row>
    <row r="13" spans="1:11" ht="16" x14ac:dyDescent="0.2">
      <c r="A13" s="1">
        <v>71</v>
      </c>
      <c r="B13" s="1">
        <v>17</v>
      </c>
      <c r="C13" s="1">
        <v>17</v>
      </c>
      <c r="D13">
        <v>4092289</v>
      </c>
      <c r="E13" s="1">
        <v>4000</v>
      </c>
      <c r="F13" s="1">
        <v>4188540</v>
      </c>
      <c r="G13" s="1">
        <v>4188540</v>
      </c>
      <c r="H13" s="1">
        <v>10</v>
      </c>
      <c r="I13" s="4"/>
    </row>
    <row r="14" spans="1:11" ht="16" x14ac:dyDescent="0.2">
      <c r="A14" s="1">
        <v>71</v>
      </c>
      <c r="B14" s="1">
        <v>18</v>
      </c>
      <c r="C14" s="1">
        <v>18</v>
      </c>
      <c r="D14">
        <v>4092289</v>
      </c>
      <c r="E14" s="1">
        <v>4000</v>
      </c>
      <c r="F14" s="1">
        <v>4188540</v>
      </c>
      <c r="G14" s="1">
        <v>4188540</v>
      </c>
      <c r="H14" s="1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48E57FAF33F44FB5E762D78C70B43B" ma:contentTypeVersion="9" ma:contentTypeDescription="Een nieuw document maken." ma:contentTypeScope="" ma:versionID="09261b8c9db6496040fa98c128102db7">
  <xsd:schema xmlns:xsd="http://www.w3.org/2001/XMLSchema" xmlns:xs="http://www.w3.org/2001/XMLSchema" xmlns:p="http://schemas.microsoft.com/office/2006/metadata/properties" xmlns:ns2="2f696df8-7461-455e-9bf1-ef56149775f2" targetNamespace="http://schemas.microsoft.com/office/2006/metadata/properties" ma:root="true" ma:fieldsID="c87049393a058ff896145aa7aaeb09f0" ns2:_="">
    <xsd:import namespace="2f696df8-7461-455e-9bf1-ef56149775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96df8-7461-455e-9bf1-ef56149775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10d4343b-56a8-419c-a1f5-ea63478bd8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696df8-7461-455e-9bf1-ef56149775f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331738-2870-4EAF-86B4-6F4811A40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696df8-7461-455e-9bf1-ef56149775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DF05F8-3308-4EA3-8F5D-FC78E20AC719}">
  <ds:schemaRefs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2f696df8-7461-455e-9bf1-ef56149775f2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4F405B8-D94E-404D-BACC-4EAF448A1B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person</vt:lpstr>
      <vt:lpstr>pregnancy</vt:lpstr>
      <vt:lpstr>observation_period</vt:lpstr>
      <vt:lpstr>condition_occurrence</vt:lpstr>
      <vt:lpstr>fact_relationship</vt:lpstr>
      <vt:lpstr>measurement</vt:lpstr>
      <vt:lpstr>infant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Arianna Alamshahi</cp:lastModifiedBy>
  <cp:revision/>
  <dcterms:created xsi:type="dcterms:W3CDTF">2026-02-02T15:19:42Z</dcterms:created>
  <dcterms:modified xsi:type="dcterms:W3CDTF">2026-08-24T17:44:47Z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0x0101005E48E57FAF33F44FB5E762D78C70B43B</vt:lpwstr>
  </property>
  <property fmtid="{D5CDD505-2E9C-101B-9397-08002B2CF9AE}" pid="3" name="MediaServiceImageTags">
    <vt:lpwstr/>
  </property>
</Properties>
</file>