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A5F9FE03-AECB-BD43-9C37-25B97F4AE4F7}" xr6:coauthVersionLast="47" xr6:coauthVersionMax="47" xr10:uidLastSave="{00000000-0000-0000-0000-000000000000}"/>
  <bookViews>
    <workbookView xWindow="0" yWindow="740" windowWidth="34560" windowHeight="21600" activeTab="4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definedNames>
    <definedName name="_xlnm._FilterDatabase" localSheetId="4" hidden="1">fact_relationship!$A$1:$F$46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<sst xmlns="http://schemas.openxmlformats.org/spreadsheetml/2006/main" count="194" uniqueCount="98">
  <si>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</si>
  <si>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</si>
  <si>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</si>
  <si>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</si>
  <si>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</si>
  <si>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</si>
  <si>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</si>
  <si>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</si>
  <si>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</si>
  <si>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</si>
  <si>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</si>
  <si>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</si>
  <si>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</si>
  <si>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</si>
  <si>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</si>
  <si>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</si>
  <si>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</si>
  <si>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</si>
  <si>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</si>
  <si>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</si>
  <si>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</si>
  <si>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Comments</t>
  </si>
  <si>
    <t>Family 1 - Mother</t>
  </si>
  <si>
    <t>Family 1 - Father</t>
  </si>
  <si>
    <t>Family 1 - Son</t>
  </si>
  <si>
    <t>Family 1 - Daugther 1</t>
  </si>
  <si>
    <t>Family 1 - Daugther 2</t>
  </si>
  <si>
    <t>Family 2 - Mother</t>
  </si>
  <si>
    <t xml:space="preserve">Family 1- Mother of </t>
  </si>
  <si>
    <t xml:space="preserve">Family 1- Father of </t>
  </si>
  <si>
    <t>Family 1- Infant of Mother</t>
  </si>
  <si>
    <t>Family 1- Infant of Father</t>
  </si>
  <si>
    <t>Family 2 - Daugther 1</t>
  </si>
  <si>
    <t>Family 1 - Mother- Daugther 1</t>
  </si>
  <si>
    <t>Family 1 - Mother-Son</t>
  </si>
  <si>
    <t>Family 1 - Mother-Daugther 2</t>
  </si>
  <si>
    <t xml:space="preserve">Family 2- Mother of </t>
  </si>
  <si>
    <t>Family 2- Infant of Mother</t>
  </si>
  <si>
    <t>Family 3 - Mother</t>
  </si>
  <si>
    <t>Family 3- Son with no linkage</t>
  </si>
  <si>
    <t>Family 4 - Mother</t>
  </si>
  <si>
    <t>Family 4 - Twin 1</t>
  </si>
  <si>
    <t>Family 4 - Twin 2</t>
  </si>
  <si>
    <t xml:space="preserve">Family 4- Mother of </t>
  </si>
  <si>
    <t>Family 4- Infant of Mother</t>
  </si>
  <si>
    <t>Family 4 - Mother- Twin 1</t>
  </si>
  <si>
    <t>day_of_birth</t>
  </si>
  <si>
    <t>month_of_birth</t>
  </si>
  <si>
    <t>Family 2 - Son</t>
  </si>
  <si>
    <t xml:space="preserve">Family 2 - Daugther 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</si>
  <si>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</si>
  <si>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</si>
  <si>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</si>
  <si>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</si>
  <si>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</si>
  <si>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</si>
  <si>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Family 5 - Mother</t>
  </si>
  <si>
    <t>Family 5 - Son</t>
  </si>
  <si>
    <t>Family 5- Mother</t>
  </si>
  <si>
    <t>Family 5- Son</t>
  </si>
  <si>
    <t xml:space="preserve">Family 5- Mother of </t>
  </si>
  <si>
    <t>Family 5- Infant of Mother</t>
  </si>
  <si>
    <t>Family 5- Stillbirth</t>
  </si>
  <si>
    <t>Mother to test observation period</t>
  </si>
  <si>
    <t>condition_occurrence_id</t>
  </si>
  <si>
    <t>condition_concept_id</t>
  </si>
  <si>
    <t>condition_start_date</t>
  </si>
  <si>
    <t>condition_end_date</t>
  </si>
  <si>
    <t>condition_type_concept_id</t>
  </si>
  <si>
    <t>congenital malf</t>
  </si>
  <si>
    <t>sga</t>
  </si>
  <si>
    <t>duplicate</t>
  </si>
  <si>
    <t>Family 4 - Mother-Twin 2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</si>
  <si>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</si>
  <si>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</si>
  <si>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</si>
  <si>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</si>
  <si>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</si>
  <si>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</si>
  <si>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</si>
  <si>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</si>
  <si>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</si>
  <si>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</si>
  <si>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</si>
  <si>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</si>
  <si>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</si>
  <si>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</si>
  <si>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</si>
  <si>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</si>
  <si>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</si>
  <si>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</si>
  <si>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</si>
  <si>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</si>
  <si>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</si>
  <si>
    <t>Mother to test duplicate map</t>
  </si>
  <si>
    <t>Family 5- Stillbirth, duplicate</t>
  </si>
  <si>
    <t>Twin to infant 18. Duplicate to preg 72/inf 17</t>
  </si>
  <si>
    <t>Family 4- Infant of Mother, duplicate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</si>
</sst>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workbookViewId="0">
      <selection activeCell="A4" sqref="A4:XFD4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  <col min="8" max="8" width="45.33203125" customWidth="1"/>
  </cols>
  <sheetData>
    <row r="1" spans="1:8" ht="16" x14ac:dyDescent="0.2">
      <c r="A1" s="1" t="s">
        <v>0</v>
      </c>
      <c r="B1" s="1" t="s">
        <v>1</v>
      </c>
      <c r="C1" s="1" t="s">
        <v>46</v>
      </c>
      <c r="D1" s="1" t="s">
        <v>47</v>
      </c>
      <c r="E1" s="1" t="s">
        <v>2</v>
      </c>
      <c r="F1" s="1" t="s">
        <v>3</v>
      </c>
      <c r="G1" s="1" t="s">
        <v>4</v>
      </c>
      <c r="H1" s="1" t="s">
        <v>21</v>
      </c>
    </row>
    <row r="2" spans="1:8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  <c r="H2" t="s">
        <v>22</v>
      </c>
    </row>
    <row r="3" spans="1:8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  <c r="H3" t="s">
        <v>23</v>
      </c>
    </row>
    <row r="4" spans="1:8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  <c r="H4" t="s">
        <v>24</v>
      </c>
    </row>
    <row r="5" spans="1:8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  <c r="H5" t="s">
        <v>25</v>
      </c>
    </row>
    <row r="6" spans="1:8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  <c r="H6" t="s">
        <v>26</v>
      </c>
    </row>
    <row r="7" spans="1:8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  <c r="H7" t="s">
        <v>27</v>
      </c>
    </row>
    <row r="8" spans="1:8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  <c r="H8" t="s">
        <v>49</v>
      </c>
    </row>
    <row r="9" spans="1:8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  <c r="H9" t="s">
        <v>48</v>
      </c>
    </row>
    <row r="10" spans="1:8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  <c r="H10" t="s">
        <v>38</v>
      </c>
    </row>
    <row r="11" spans="1:8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  <c r="H11" t="s">
        <v>39</v>
      </c>
    </row>
    <row r="12" spans="1:8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  <c r="H12" t="s">
        <v>40</v>
      </c>
    </row>
    <row r="13" spans="1:8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  <c r="H13" t="s">
        <v>41</v>
      </c>
    </row>
    <row r="14" spans="1:8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  <c r="H14" t="s">
        <v>42</v>
      </c>
    </row>
    <row r="15" spans="1:8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  <c r="H15" t="s">
        <v>56</v>
      </c>
    </row>
    <row r="16" spans="1:8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  <c r="H16" t="s">
        <v>57</v>
      </c>
    </row>
    <row r="17" spans="1:12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  <c r="H17" t="s">
        <v>63</v>
      </c>
    </row>
    <row r="18" spans="1:12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  <c r="H18" t="s">
        <v>63</v>
      </c>
    </row>
    <row r="19" spans="1:12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  <c r="H19" t="s">
        <v>63</v>
      </c>
    </row>
    <row r="20" spans="1:12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  <c r="H20" t="s">
        <v>63</v>
      </c>
    </row>
    <row r="21" spans="1:12" ht="17" customHeight="1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  <c r="H21" t="s">
        <v>40</v>
      </c>
    </row>
    <row r="22" spans="1:12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  <c r="H22" t="s">
        <v>94</v>
      </c>
    </row>
    <row r="23" spans="1:12" ht="16" x14ac:dyDescent="0.2">
      <c r="F23" s="1"/>
    </row>
    <row r="24" spans="1:12" ht="16" x14ac:dyDescent="0.2">
      <c r="A24" s="1"/>
      <c r="B24" s="1"/>
      <c r="C24" s="1"/>
      <c r="E24" s="1"/>
      <c r="F24" s="1"/>
      <c r="G24" s="1"/>
      <c r="H24" s="1"/>
      <c r="I24" s="4"/>
      <c r="L24" s="4"/>
    </row>
    <row r="25" spans="1:12" ht="16" x14ac:dyDescent="0.2">
      <c r="A25" s="1"/>
      <c r="B25" s="1"/>
      <c r="C25" s="1"/>
      <c r="E25" s="1"/>
      <c r="F25" s="1"/>
      <c r="G25" s="1"/>
      <c r="H25" s="1"/>
      <c r="I25" s="4"/>
      <c r="L25" s="4"/>
    </row>
    <row r="26" spans="1:12" ht="16" x14ac:dyDescent="0.2">
      <c r="A26" s="1"/>
      <c r="B26" s="1"/>
      <c r="C26" s="1"/>
      <c r="E26" s="1"/>
      <c r="F26" s="1"/>
      <c r="G26" s="1"/>
      <c r="H26" s="1"/>
      <c r="I26" s="4"/>
      <c r="L26" s="4"/>
    </row>
    <row r="27" spans="1:12" ht="16" x14ac:dyDescent="0.2">
      <c r="A27" s="1"/>
      <c r="B27" s="1"/>
      <c r="C27" s="1"/>
      <c r="E27" s="1"/>
      <c r="F27" s="1"/>
      <c r="G27" s="1"/>
      <c r="H27" s="1"/>
    </row>
    <row r="28" spans="1:12" ht="16" x14ac:dyDescent="0.2">
      <c r="A28" s="1"/>
      <c r="B28" s="1"/>
      <c r="C28" s="1"/>
      <c r="E28" s="1"/>
      <c r="F28" s="1"/>
      <c r="G28" s="1"/>
      <c r="H2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K19"/>
  <sheetViews>
    <sheetView workbookViewId="0">
      <selection activeCell="A2" sqref="A2:D3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  <col min="10" max="10" width="28.5" customWidth="1"/>
  </cols>
  <sheetData>
    <row r="1" spans="1:11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93</v>
      </c>
      <c r="G1" s="1" t="s">
        <v>50</v>
      </c>
      <c r="H1" s="1" t="s">
        <v>13</v>
      </c>
      <c r="I1" s="1" t="s">
        <v>92</v>
      </c>
      <c r="J1" s="1" t="s">
        <v>21</v>
      </c>
      <c r="K1" s="1"/>
    </row>
    <row r="2" spans="1:11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t="s">
        <v>45</v>
      </c>
      <c r="K2" s="1"/>
    </row>
    <row r="3" spans="1:11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t="s">
        <v>72</v>
      </c>
      <c r="K3" s="1"/>
    </row>
    <row r="4" spans="1:11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K4" s="1"/>
    </row>
    <row r="5" spans="1:11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K5" s="1"/>
    </row>
    <row r="6" spans="1:11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t="s">
        <v>34</v>
      </c>
      <c r="K6" s="1"/>
    </row>
    <row r="7" spans="1:11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t="s">
        <v>33</v>
      </c>
      <c r="K7" s="1"/>
    </row>
    <row r="8" spans="1:11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t="s">
        <v>35</v>
      </c>
      <c r="K8" s="1"/>
    </row>
    <row r="9" spans="1:11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 t="s">
        <v>38</v>
      </c>
      <c r="K9" s="1"/>
    </row>
    <row r="10" spans="1:11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 t="s">
        <v>38</v>
      </c>
      <c r="K10" s="1"/>
    </row>
    <row r="11" spans="1:11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  <c r="J11" s="1" t="s">
        <v>58</v>
      </c>
    </row>
    <row r="12" spans="1:11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  <c r="J12" s="1" t="s">
        <v>58</v>
      </c>
    </row>
    <row r="13" spans="1:11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  <c r="J13" t="s">
        <v>63</v>
      </c>
    </row>
    <row r="14" spans="1:11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  <c r="J14" t="s">
        <v>63</v>
      </c>
    </row>
    <row r="15" spans="1:11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t="s">
        <v>63</v>
      </c>
      <c r="K15" s="1"/>
    </row>
    <row r="16" spans="1:11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t="s">
        <v>63</v>
      </c>
      <c r="K16" s="1"/>
    </row>
    <row r="17" spans="1:11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t="s">
        <v>72</v>
      </c>
      <c r="K17" s="1"/>
    </row>
    <row r="18" spans="1:11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1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</sheetData>
  <sortState xmlns:xlrd2="http://schemas.microsoft.com/office/spreadsheetml/2017/richdata2" ref="A2:J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F22"/>
  <sheetViews>
    <sheetView workbookViewId="0">
      <selection activeCell="A13" sqref="A13:XFD15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  <col min="6" max="6" width="30" customWidth="1"/>
  </cols>
  <sheetData>
    <row r="1" spans="1:6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  <c r="F1" s="1" t="s">
        <v>21</v>
      </c>
    </row>
    <row r="2" spans="1:6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  <c r="F2" t="s">
        <v>22</v>
      </c>
    </row>
    <row r="3" spans="1:6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  <c r="F3" t="s">
        <v>23</v>
      </c>
    </row>
    <row r="4" spans="1:6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  <c r="F4" t="s">
        <v>24</v>
      </c>
    </row>
    <row r="5" spans="1:6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  <c r="F5" t="s">
        <v>25</v>
      </c>
    </row>
    <row r="6" spans="1:6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  <c r="F6" t="s">
        <v>26</v>
      </c>
    </row>
    <row r="7" spans="1:6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  <c r="F7" t="s">
        <v>27</v>
      </c>
    </row>
    <row r="8" spans="1:6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  <c r="F8" t="s">
        <v>32</v>
      </c>
    </row>
    <row r="9" spans="1:6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  <c r="F9" t="s">
        <v>24</v>
      </c>
    </row>
    <row r="10" spans="1:6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  <c r="F10" t="s">
        <v>38</v>
      </c>
    </row>
    <row r="11" spans="1:6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  <c r="F11" t="s">
        <v>39</v>
      </c>
    </row>
    <row r="12" spans="1:6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  <c r="F12" t="s">
        <v>40</v>
      </c>
    </row>
    <row r="13" spans="1:6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  <c r="F13" t="s">
        <v>41</v>
      </c>
    </row>
    <row r="14" spans="1:6" ht="16" x14ac:dyDescent="0.2">
      <c r="A14" s="1">
        <v>13</v>
      </c>
      <c r="B14" s="1">
        <v>13</v>
      </c>
      <c r="C14" s="7">
        <v>44568</v>
      </c>
      <c r="D14" s="6">
        <v>45657</v>
      </c>
      <c r="E14" s="1">
        <v>32880</v>
      </c>
      <c r="F14" t="s">
        <v>42</v>
      </c>
    </row>
    <row r="15" spans="1:6" ht="16" x14ac:dyDescent="0.2">
      <c r="A15" s="1">
        <v>14</v>
      </c>
      <c r="B15" s="1">
        <v>14</v>
      </c>
      <c r="C15" s="6">
        <v>38718</v>
      </c>
      <c r="D15" s="6">
        <v>45657</v>
      </c>
      <c r="E15" s="1">
        <v>32880</v>
      </c>
      <c r="F15" t="s">
        <v>56</v>
      </c>
    </row>
    <row r="16" spans="1:6" ht="16" x14ac:dyDescent="0.2">
      <c r="A16" s="1">
        <v>15</v>
      </c>
      <c r="B16" s="1">
        <v>15</v>
      </c>
      <c r="C16" s="6">
        <v>44567</v>
      </c>
      <c r="D16" s="6">
        <v>45657</v>
      </c>
      <c r="E16" s="1">
        <v>32880</v>
      </c>
      <c r="F16" t="s">
        <v>57</v>
      </c>
    </row>
    <row r="17" spans="1:6" ht="16" x14ac:dyDescent="0.2">
      <c r="A17" s="1">
        <v>16</v>
      </c>
      <c r="B17" s="1">
        <v>16</v>
      </c>
      <c r="C17" s="6">
        <v>38718</v>
      </c>
      <c r="D17" s="6">
        <v>45657</v>
      </c>
      <c r="E17" s="1">
        <v>32880</v>
      </c>
      <c r="F17" t="s">
        <v>63</v>
      </c>
    </row>
    <row r="18" spans="1:6" ht="16" x14ac:dyDescent="0.2">
      <c r="A18" s="1">
        <v>17</v>
      </c>
      <c r="B18" s="1">
        <v>17</v>
      </c>
      <c r="C18" s="6">
        <v>38718</v>
      </c>
      <c r="D18" s="6">
        <v>45657</v>
      </c>
      <c r="E18" s="1">
        <v>32880</v>
      </c>
      <c r="F18" t="s">
        <v>63</v>
      </c>
    </row>
    <row r="19" spans="1:6" ht="16" x14ac:dyDescent="0.2">
      <c r="A19" s="1">
        <v>18</v>
      </c>
      <c r="B19" s="1">
        <v>18</v>
      </c>
      <c r="C19" s="6">
        <v>38718</v>
      </c>
      <c r="D19" s="6">
        <v>45657</v>
      </c>
      <c r="E19" s="1">
        <v>32880</v>
      </c>
      <c r="F19" t="s">
        <v>63</v>
      </c>
    </row>
    <row r="20" spans="1:6" ht="16" x14ac:dyDescent="0.2">
      <c r="A20" s="1">
        <v>19</v>
      </c>
      <c r="B20" s="1">
        <v>19</v>
      </c>
      <c r="C20" s="6">
        <v>38718</v>
      </c>
      <c r="D20" s="6">
        <v>45657</v>
      </c>
      <c r="E20" s="1">
        <v>32880</v>
      </c>
      <c r="F20" t="s">
        <v>63</v>
      </c>
    </row>
    <row r="21" spans="1:6" ht="16" x14ac:dyDescent="0.2">
      <c r="A21" s="1">
        <v>100</v>
      </c>
      <c r="B21" s="1">
        <v>100</v>
      </c>
      <c r="C21" s="6">
        <v>38718</v>
      </c>
      <c r="D21" s="6">
        <v>45657</v>
      </c>
      <c r="E21" s="1">
        <v>32880</v>
      </c>
      <c r="F21" t="s">
        <v>40</v>
      </c>
    </row>
    <row r="22" spans="1:6" ht="16" x14ac:dyDescent="0.2">
      <c r="A22" s="1">
        <v>102</v>
      </c>
      <c r="B22" s="1">
        <v>102</v>
      </c>
      <c r="C22" s="6">
        <v>38718</v>
      </c>
      <c r="D22" s="6">
        <v>45657</v>
      </c>
      <c r="E22" s="1">
        <v>32880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G20"/>
  <sheetViews>
    <sheetView workbookViewId="0">
      <selection activeCell="B20" sqref="B20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  <col min="7" max="7" width="12.83203125" bestFit="1" customWidth="1"/>
  </cols>
  <sheetData>
    <row r="1" spans="1:7" x14ac:dyDescent="0.2">
      <c r="A1" s="4" t="s">
        <v>64</v>
      </c>
      <c r="B1" s="4" t="s">
        <v>0</v>
      </c>
      <c r="C1" s="4" t="s">
        <v>65</v>
      </c>
      <c r="D1" s="12" t="s">
        <v>66</v>
      </c>
      <c r="E1" s="12" t="s">
        <v>67</v>
      </c>
      <c r="F1" s="4" t="s">
        <v>68</v>
      </c>
      <c r="G1" s="4" t="s">
        <v>21</v>
      </c>
    </row>
    <row r="2" spans="1:7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  <c r="G2" s="4" t="s">
        <v>69</v>
      </c>
    </row>
    <row r="3" spans="1:7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  <c r="G3" s="4" t="s">
        <v>69</v>
      </c>
    </row>
    <row r="4" spans="1:7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  <c r="G4" s="4" t="s">
        <v>70</v>
      </c>
    </row>
    <row r="5" spans="1:7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  <c r="G5" s="4" t="s">
        <v>70</v>
      </c>
    </row>
    <row r="6" spans="1:7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  <c r="G6" s="4" t="s">
        <v>70</v>
      </c>
    </row>
    <row r="7" spans="1:7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  <c r="G7" s="4" t="s">
        <v>70</v>
      </c>
    </row>
    <row r="8" spans="1:7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  <c r="G8" s="4" t="s">
        <v>70</v>
      </c>
    </row>
    <row r="9" spans="1:7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  <c r="G9" s="4" t="s">
        <v>70</v>
      </c>
    </row>
    <row r="10" spans="1:7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  <c r="G10" s="4" t="s">
        <v>70</v>
      </c>
    </row>
    <row r="11" spans="1:7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  <c r="G11" s="4" t="s">
        <v>70</v>
      </c>
    </row>
    <row r="12" spans="1:7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  <c r="G12" s="4" t="s">
        <v>70</v>
      </c>
    </row>
    <row r="13" spans="1:7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  <c r="G13" s="4" t="s">
        <v>70</v>
      </c>
    </row>
    <row r="14" spans="1:7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  <c r="G14" s="4" t="s">
        <v>70</v>
      </c>
    </row>
    <row r="15" spans="1:7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  <c r="G15" s="4" t="s">
        <v>70</v>
      </c>
    </row>
    <row r="16" spans="1:7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  <c r="G16" s="4" t="s">
        <v>70</v>
      </c>
    </row>
    <row r="17" spans="1:7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  <c r="G17" s="4" t="s">
        <v>70</v>
      </c>
    </row>
    <row r="18" spans="1:7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  <c r="G18" s="4" t="s">
        <v>70</v>
      </c>
    </row>
    <row r="19" spans="1:7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7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G46"/>
  <sheetViews>
    <sheetView tabSelected="1" workbookViewId="0">
      <selection activeCell="F32" sqref="F32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  <col min="6" max="6" width="28.6640625" customWidth="1"/>
  </cols>
  <sheetData>
    <row r="1" spans="1:7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t="s">
        <v>21</v>
      </c>
      <c r="G1" s="4"/>
    </row>
    <row r="2" spans="1:7" x14ac:dyDescent="0.2">
      <c r="A2" s="3">
        <v>1147314</v>
      </c>
      <c r="B2">
        <v>3</v>
      </c>
      <c r="C2" s="3">
        <v>1147314</v>
      </c>
      <c r="D2">
        <v>1</v>
      </c>
      <c r="E2">
        <v>40485452</v>
      </c>
      <c r="F2" t="s">
        <v>30</v>
      </c>
    </row>
    <row r="3" spans="1:7" x14ac:dyDescent="0.2">
      <c r="A3" s="3">
        <v>1147314</v>
      </c>
      <c r="B3">
        <v>4</v>
      </c>
      <c r="C3" s="3">
        <v>1147314</v>
      </c>
      <c r="D3">
        <v>1</v>
      </c>
      <c r="E3">
        <v>40485452</v>
      </c>
      <c r="F3" t="s">
        <v>30</v>
      </c>
    </row>
    <row r="4" spans="1:7" x14ac:dyDescent="0.2">
      <c r="A4" s="3">
        <v>1147314</v>
      </c>
      <c r="B4">
        <v>5</v>
      </c>
      <c r="C4" s="3">
        <v>1147314</v>
      </c>
      <c r="D4">
        <v>1</v>
      </c>
      <c r="E4">
        <v>40485452</v>
      </c>
      <c r="F4" t="s">
        <v>30</v>
      </c>
    </row>
    <row r="5" spans="1:7" x14ac:dyDescent="0.2">
      <c r="A5" s="3">
        <v>1147314</v>
      </c>
      <c r="B5">
        <v>3</v>
      </c>
      <c r="C5" s="3">
        <v>1147314</v>
      </c>
      <c r="D5">
        <v>1</v>
      </c>
      <c r="E5">
        <v>4326600</v>
      </c>
      <c r="F5" t="s">
        <v>30</v>
      </c>
    </row>
    <row r="6" spans="1:7" x14ac:dyDescent="0.2">
      <c r="A6" s="3">
        <v>1147314</v>
      </c>
      <c r="B6">
        <v>4</v>
      </c>
      <c r="C6" s="3">
        <v>1147314</v>
      </c>
      <c r="D6">
        <v>1</v>
      </c>
      <c r="E6">
        <v>4326600</v>
      </c>
      <c r="F6" t="s">
        <v>30</v>
      </c>
    </row>
    <row r="7" spans="1:7" x14ac:dyDescent="0.2">
      <c r="A7" s="3">
        <v>1147314</v>
      </c>
      <c r="B7">
        <v>5</v>
      </c>
      <c r="C7" s="3">
        <v>1147314</v>
      </c>
      <c r="D7">
        <v>1</v>
      </c>
      <c r="E7">
        <v>4326600</v>
      </c>
      <c r="F7" t="s">
        <v>30</v>
      </c>
    </row>
    <row r="8" spans="1:7" x14ac:dyDescent="0.2">
      <c r="A8" s="3">
        <v>1147314</v>
      </c>
      <c r="B8">
        <v>3</v>
      </c>
      <c r="C8" s="3">
        <v>1147314</v>
      </c>
      <c r="D8">
        <v>2</v>
      </c>
      <c r="E8">
        <v>40485452</v>
      </c>
      <c r="F8" t="s">
        <v>31</v>
      </c>
    </row>
    <row r="9" spans="1:7" x14ac:dyDescent="0.2">
      <c r="A9" s="3">
        <v>1147314</v>
      </c>
      <c r="B9">
        <v>4</v>
      </c>
      <c r="C9" s="3">
        <v>1147314</v>
      </c>
      <c r="D9">
        <v>2</v>
      </c>
      <c r="E9">
        <v>40485452</v>
      </c>
      <c r="F9" t="s">
        <v>31</v>
      </c>
    </row>
    <row r="10" spans="1:7" x14ac:dyDescent="0.2">
      <c r="A10" s="3">
        <v>1147314</v>
      </c>
      <c r="B10">
        <v>5</v>
      </c>
      <c r="C10" s="3">
        <v>1147314</v>
      </c>
      <c r="D10">
        <v>2</v>
      </c>
      <c r="E10">
        <v>40485452</v>
      </c>
      <c r="F10" t="s">
        <v>31</v>
      </c>
    </row>
    <row r="11" spans="1:7" x14ac:dyDescent="0.2">
      <c r="A11" s="3">
        <v>1147314</v>
      </c>
      <c r="B11">
        <v>3</v>
      </c>
      <c r="C11" s="3">
        <v>1147314</v>
      </c>
      <c r="D11">
        <v>2</v>
      </c>
      <c r="E11">
        <v>4326600</v>
      </c>
      <c r="F11" t="s">
        <v>31</v>
      </c>
    </row>
    <row r="12" spans="1:7" x14ac:dyDescent="0.2">
      <c r="A12" s="3">
        <v>1147314</v>
      </c>
      <c r="B12">
        <v>4</v>
      </c>
      <c r="C12" s="3">
        <v>1147314</v>
      </c>
      <c r="D12">
        <v>2</v>
      </c>
      <c r="E12">
        <v>4326600</v>
      </c>
      <c r="F12" t="s">
        <v>31</v>
      </c>
    </row>
    <row r="13" spans="1:7" x14ac:dyDescent="0.2">
      <c r="A13" s="3">
        <v>1147314</v>
      </c>
      <c r="B13">
        <v>5</v>
      </c>
      <c r="C13" s="3">
        <v>1147314</v>
      </c>
      <c r="D13">
        <v>2</v>
      </c>
      <c r="E13">
        <v>4326600</v>
      </c>
      <c r="F13" t="s">
        <v>31</v>
      </c>
    </row>
    <row r="14" spans="1:7" x14ac:dyDescent="0.2">
      <c r="A14" s="5">
        <v>1147314</v>
      </c>
      <c r="B14" s="4">
        <v>1</v>
      </c>
      <c r="C14" s="5">
        <v>1147314</v>
      </c>
      <c r="D14" s="4">
        <v>3</v>
      </c>
      <c r="E14">
        <v>40485452</v>
      </c>
      <c r="F14" t="s">
        <v>28</v>
      </c>
    </row>
    <row r="15" spans="1:7" x14ac:dyDescent="0.2">
      <c r="A15" s="3">
        <v>1147314</v>
      </c>
      <c r="B15">
        <v>2</v>
      </c>
      <c r="C15" s="3">
        <v>1147314</v>
      </c>
      <c r="D15">
        <v>3</v>
      </c>
      <c r="E15">
        <v>40485452</v>
      </c>
      <c r="F15" t="s">
        <v>29</v>
      </c>
    </row>
    <row r="16" spans="1:7" x14ac:dyDescent="0.2">
      <c r="A16" s="5">
        <v>1147314</v>
      </c>
      <c r="B16" s="4">
        <v>1</v>
      </c>
      <c r="C16" s="5">
        <v>1147314</v>
      </c>
      <c r="D16" s="4">
        <v>3</v>
      </c>
      <c r="E16">
        <v>4326600</v>
      </c>
      <c r="F16" t="s">
        <v>28</v>
      </c>
    </row>
    <row r="17" spans="1:6" x14ac:dyDescent="0.2">
      <c r="A17" s="3">
        <v>1147314</v>
      </c>
      <c r="B17">
        <v>2</v>
      </c>
      <c r="C17" s="3">
        <v>1147314</v>
      </c>
      <c r="D17">
        <v>3</v>
      </c>
      <c r="E17">
        <v>4326600</v>
      </c>
      <c r="F17" t="s">
        <v>29</v>
      </c>
    </row>
    <row r="18" spans="1:6" x14ac:dyDescent="0.2">
      <c r="A18" s="3">
        <v>1147314</v>
      </c>
      <c r="B18">
        <v>1</v>
      </c>
      <c r="C18" s="3">
        <v>1147314</v>
      </c>
      <c r="D18">
        <v>4</v>
      </c>
      <c r="E18">
        <v>40485452</v>
      </c>
      <c r="F18" t="s">
        <v>28</v>
      </c>
    </row>
    <row r="19" spans="1:6" x14ac:dyDescent="0.2">
      <c r="A19" s="3">
        <v>1147314</v>
      </c>
      <c r="B19">
        <v>2</v>
      </c>
      <c r="C19" s="3">
        <v>1147314</v>
      </c>
      <c r="D19">
        <v>4</v>
      </c>
      <c r="E19">
        <v>40485452</v>
      </c>
      <c r="F19" t="s">
        <v>29</v>
      </c>
    </row>
    <row r="20" spans="1:6" x14ac:dyDescent="0.2">
      <c r="A20" s="3">
        <v>1147314</v>
      </c>
      <c r="B20">
        <v>1</v>
      </c>
      <c r="C20" s="3">
        <v>1147314</v>
      </c>
      <c r="D20">
        <v>4</v>
      </c>
      <c r="E20">
        <v>4326600</v>
      </c>
      <c r="F20" t="s">
        <v>28</v>
      </c>
    </row>
    <row r="21" spans="1:6" x14ac:dyDescent="0.2">
      <c r="A21" s="3">
        <v>1147314</v>
      </c>
      <c r="B21">
        <v>2</v>
      </c>
      <c r="C21" s="3">
        <v>1147314</v>
      </c>
      <c r="D21">
        <v>4</v>
      </c>
      <c r="E21">
        <v>4326600</v>
      </c>
      <c r="F21" t="s">
        <v>29</v>
      </c>
    </row>
    <row r="22" spans="1:6" x14ac:dyDescent="0.2">
      <c r="A22" s="3">
        <v>1147314</v>
      </c>
      <c r="B22">
        <v>1</v>
      </c>
      <c r="C22" s="3">
        <v>1147314</v>
      </c>
      <c r="D22">
        <v>5</v>
      </c>
      <c r="E22">
        <v>4285883</v>
      </c>
      <c r="F22" t="s">
        <v>28</v>
      </c>
    </row>
    <row r="23" spans="1:6" x14ac:dyDescent="0.2">
      <c r="A23" s="3">
        <v>1147314</v>
      </c>
      <c r="B23">
        <v>2</v>
      </c>
      <c r="C23" s="3">
        <v>1147314</v>
      </c>
      <c r="D23">
        <v>5</v>
      </c>
      <c r="E23">
        <v>4285883</v>
      </c>
      <c r="F23" t="s">
        <v>29</v>
      </c>
    </row>
    <row r="24" spans="1:6" x14ac:dyDescent="0.2">
      <c r="A24" s="3">
        <v>1147314</v>
      </c>
      <c r="B24">
        <v>1</v>
      </c>
      <c r="C24" s="3">
        <v>1147314</v>
      </c>
      <c r="D24">
        <v>5</v>
      </c>
      <c r="E24">
        <v>4326600</v>
      </c>
      <c r="F24" t="s">
        <v>28</v>
      </c>
    </row>
    <row r="25" spans="1:6" x14ac:dyDescent="0.2">
      <c r="A25" s="3">
        <v>1147314</v>
      </c>
      <c r="B25">
        <v>2</v>
      </c>
      <c r="C25" s="3">
        <v>1147314</v>
      </c>
      <c r="D25">
        <v>5</v>
      </c>
      <c r="E25">
        <v>4326600</v>
      </c>
      <c r="F25" t="s">
        <v>29</v>
      </c>
    </row>
    <row r="26" spans="1:6" x14ac:dyDescent="0.2">
      <c r="A26" s="3">
        <v>1147314</v>
      </c>
      <c r="B26">
        <v>7</v>
      </c>
      <c r="C26" s="3">
        <v>1147314</v>
      </c>
      <c r="D26">
        <v>6</v>
      </c>
      <c r="E26">
        <v>40485452</v>
      </c>
      <c r="F26" t="s">
        <v>37</v>
      </c>
    </row>
    <row r="27" spans="1:6" x14ac:dyDescent="0.2">
      <c r="A27" s="3">
        <v>1147314</v>
      </c>
      <c r="B27">
        <v>8</v>
      </c>
      <c r="C27" s="3">
        <v>1147314</v>
      </c>
      <c r="D27">
        <v>6</v>
      </c>
      <c r="E27">
        <v>40485452</v>
      </c>
      <c r="F27" t="s">
        <v>37</v>
      </c>
    </row>
    <row r="28" spans="1:6" x14ac:dyDescent="0.2">
      <c r="A28" s="3">
        <v>1147314</v>
      </c>
      <c r="B28">
        <v>7</v>
      </c>
      <c r="C28" s="3">
        <v>1147314</v>
      </c>
      <c r="D28">
        <v>6</v>
      </c>
      <c r="E28">
        <v>4326600</v>
      </c>
      <c r="F28" t="s">
        <v>37</v>
      </c>
    </row>
    <row r="29" spans="1:6" x14ac:dyDescent="0.2">
      <c r="A29" s="3">
        <v>1147314</v>
      </c>
      <c r="B29">
        <v>8</v>
      </c>
      <c r="C29" s="3">
        <v>1147314</v>
      </c>
      <c r="D29">
        <v>6</v>
      </c>
      <c r="E29">
        <v>4326600</v>
      </c>
      <c r="F29" t="s">
        <v>37</v>
      </c>
    </row>
    <row r="30" spans="1:6" x14ac:dyDescent="0.2">
      <c r="A30" s="3">
        <v>1147314</v>
      </c>
      <c r="B30">
        <v>6</v>
      </c>
      <c r="C30" s="3">
        <v>1147314</v>
      </c>
      <c r="D30">
        <v>7</v>
      </c>
      <c r="E30">
        <v>4285883</v>
      </c>
      <c r="F30" t="s">
        <v>36</v>
      </c>
    </row>
    <row r="31" spans="1:6" x14ac:dyDescent="0.2">
      <c r="A31" s="3">
        <v>1147314</v>
      </c>
      <c r="B31">
        <v>6</v>
      </c>
      <c r="C31" s="3">
        <v>1147314</v>
      </c>
      <c r="D31">
        <v>7</v>
      </c>
      <c r="E31">
        <v>4326600</v>
      </c>
      <c r="F31" t="s">
        <v>36</v>
      </c>
    </row>
    <row r="32" spans="1:6" x14ac:dyDescent="0.2">
      <c r="A32" s="3">
        <v>1147314</v>
      </c>
      <c r="B32">
        <v>6</v>
      </c>
      <c r="C32" s="3">
        <v>1147314</v>
      </c>
      <c r="D32">
        <v>8</v>
      </c>
      <c r="E32">
        <v>40485452</v>
      </c>
      <c r="F32" t="s">
        <v>36</v>
      </c>
    </row>
    <row r="33" spans="1:6" x14ac:dyDescent="0.2">
      <c r="A33" s="3">
        <v>1147314</v>
      </c>
      <c r="B33">
        <v>6</v>
      </c>
      <c r="C33" s="3">
        <v>1147314</v>
      </c>
      <c r="D33">
        <v>8</v>
      </c>
      <c r="E33">
        <v>4326600</v>
      </c>
      <c r="F33" t="s">
        <v>36</v>
      </c>
    </row>
    <row r="34" spans="1:6" x14ac:dyDescent="0.2">
      <c r="A34" s="3">
        <v>1147314</v>
      </c>
      <c r="B34">
        <v>12</v>
      </c>
      <c r="C34" s="3">
        <v>1147314</v>
      </c>
      <c r="D34">
        <v>11</v>
      </c>
      <c r="E34">
        <v>40485452</v>
      </c>
      <c r="F34" t="s">
        <v>44</v>
      </c>
    </row>
    <row r="35" spans="1:6" x14ac:dyDescent="0.2">
      <c r="A35" s="3">
        <v>1147314</v>
      </c>
      <c r="B35">
        <v>12</v>
      </c>
      <c r="C35" s="3">
        <v>1147314</v>
      </c>
      <c r="D35">
        <v>11</v>
      </c>
      <c r="E35">
        <v>40485452</v>
      </c>
      <c r="F35" t="s">
        <v>97</v>
      </c>
    </row>
    <row r="36" spans="1:6" x14ac:dyDescent="0.2">
      <c r="A36" s="3">
        <v>1147314</v>
      </c>
      <c r="B36">
        <v>13</v>
      </c>
      <c r="C36" s="3">
        <v>1147314</v>
      </c>
      <c r="D36">
        <v>11</v>
      </c>
      <c r="E36">
        <v>40485452</v>
      </c>
      <c r="F36" t="s">
        <v>44</v>
      </c>
    </row>
    <row r="37" spans="1:6" x14ac:dyDescent="0.2">
      <c r="A37" s="3">
        <v>1147314</v>
      </c>
      <c r="B37">
        <v>12</v>
      </c>
      <c r="C37" s="3">
        <v>1147314</v>
      </c>
      <c r="D37">
        <v>11</v>
      </c>
      <c r="E37">
        <v>4326600</v>
      </c>
      <c r="F37" t="s">
        <v>44</v>
      </c>
    </row>
    <row r="38" spans="1:6" x14ac:dyDescent="0.2">
      <c r="A38" s="3">
        <v>1147314</v>
      </c>
      <c r="B38">
        <v>13</v>
      </c>
      <c r="C38" s="3">
        <v>1147314</v>
      </c>
      <c r="D38">
        <v>11</v>
      </c>
      <c r="E38">
        <v>4326600</v>
      </c>
      <c r="F38" t="s">
        <v>44</v>
      </c>
    </row>
    <row r="39" spans="1:6" x14ac:dyDescent="0.2">
      <c r="A39" s="3">
        <v>1147314</v>
      </c>
      <c r="B39">
        <v>11</v>
      </c>
      <c r="C39" s="3">
        <v>1147314</v>
      </c>
      <c r="D39">
        <v>12</v>
      </c>
      <c r="E39">
        <v>40485452</v>
      </c>
      <c r="F39" t="s">
        <v>43</v>
      </c>
    </row>
    <row r="40" spans="1:6" x14ac:dyDescent="0.2">
      <c r="A40" s="3">
        <v>1147314</v>
      </c>
      <c r="B40">
        <v>11</v>
      </c>
      <c r="C40" s="3">
        <v>1147314</v>
      </c>
      <c r="D40">
        <v>12</v>
      </c>
      <c r="E40">
        <v>4326600</v>
      </c>
      <c r="F40" t="s">
        <v>43</v>
      </c>
    </row>
    <row r="41" spans="1:6" x14ac:dyDescent="0.2">
      <c r="A41" s="3">
        <v>1147314</v>
      </c>
      <c r="B41">
        <v>11</v>
      </c>
      <c r="C41" s="3">
        <v>1147314</v>
      </c>
      <c r="D41">
        <v>13</v>
      </c>
      <c r="E41">
        <v>40485452</v>
      </c>
      <c r="F41" t="s">
        <v>43</v>
      </c>
    </row>
    <row r="42" spans="1:6" x14ac:dyDescent="0.2">
      <c r="A42" s="3">
        <v>1147314</v>
      </c>
      <c r="B42">
        <v>11</v>
      </c>
      <c r="C42" s="3">
        <v>1147314</v>
      </c>
      <c r="D42">
        <v>13</v>
      </c>
      <c r="E42">
        <v>4326600</v>
      </c>
      <c r="F42" t="s">
        <v>43</v>
      </c>
    </row>
    <row r="43" spans="1:6" x14ac:dyDescent="0.2">
      <c r="A43" s="3">
        <v>1147314</v>
      </c>
      <c r="B43">
        <v>15</v>
      </c>
      <c r="C43" s="3">
        <v>1147314</v>
      </c>
      <c r="D43">
        <v>14</v>
      </c>
      <c r="E43">
        <v>4285883</v>
      </c>
      <c r="F43" t="s">
        <v>61</v>
      </c>
    </row>
    <row r="44" spans="1:6" x14ac:dyDescent="0.2">
      <c r="A44" s="3">
        <v>1147314</v>
      </c>
      <c r="B44">
        <v>15</v>
      </c>
      <c r="C44" s="3">
        <v>1147314</v>
      </c>
      <c r="D44">
        <v>14</v>
      </c>
      <c r="E44">
        <v>4326600</v>
      </c>
      <c r="F44" t="s">
        <v>61</v>
      </c>
    </row>
    <row r="45" spans="1:6" x14ac:dyDescent="0.2">
      <c r="A45" s="3">
        <v>1147314</v>
      </c>
      <c r="B45">
        <v>14</v>
      </c>
      <c r="C45" s="3">
        <v>1147314</v>
      </c>
      <c r="D45">
        <v>15</v>
      </c>
      <c r="E45">
        <v>40485452</v>
      </c>
      <c r="F45" t="s">
        <v>60</v>
      </c>
    </row>
    <row r="46" spans="1:6" x14ac:dyDescent="0.2">
      <c r="A46" s="3">
        <v>1147314</v>
      </c>
      <c r="B46">
        <v>14</v>
      </c>
      <c r="C46" s="3">
        <v>1147314</v>
      </c>
      <c r="D46">
        <v>15</v>
      </c>
      <c r="E46">
        <v>4326600</v>
      </c>
      <c r="F46" t="s">
        <v>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73</v>
      </c>
      <c r="B1" t="s">
        <v>0</v>
      </c>
      <c r="C1" t="s">
        <v>78</v>
      </c>
      <c r="D1" t="s">
        <v>79</v>
      </c>
      <c r="E1" t="s">
        <v>74</v>
      </c>
      <c r="F1" t="s">
        <v>80</v>
      </c>
      <c r="G1" t="s">
        <v>81</v>
      </c>
      <c r="H1" t="s">
        <v>82</v>
      </c>
      <c r="J1" t="s">
        <v>75</v>
      </c>
      <c r="K1" t="s">
        <v>83</v>
      </c>
      <c r="L1" t="s">
        <v>84</v>
      </c>
      <c r="M1" t="s">
        <v>85</v>
      </c>
      <c r="N1" t="s">
        <v>76</v>
      </c>
      <c r="O1" t="s">
        <v>86</v>
      </c>
      <c r="P1" t="s">
        <v>87</v>
      </c>
      <c r="Q1" t="s">
        <v>88</v>
      </c>
      <c r="R1" t="s">
        <v>77</v>
      </c>
      <c r="S1" t="s">
        <v>89</v>
      </c>
      <c r="T1" t="s">
        <v>90</v>
      </c>
      <c r="U1" t="s">
        <v>91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L14"/>
  <sheetViews>
    <sheetView workbookViewId="0">
      <selection activeCell="A13" sqref="A13:B13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9" max="9" width="29.6640625" customWidth="1"/>
    <col min="12" max="12" width="29.1640625" customWidth="1"/>
  </cols>
  <sheetData>
    <row r="1" spans="1:12" ht="16" x14ac:dyDescent="0.2">
      <c r="A1" t="s">
        <v>14</v>
      </c>
      <c r="B1" t="s">
        <v>15</v>
      </c>
      <c r="C1" t="s">
        <v>0</v>
      </c>
      <c r="D1" t="s">
        <v>51</v>
      </c>
      <c r="E1" t="s">
        <v>52</v>
      </c>
      <c r="F1" s="1" t="s">
        <v>53</v>
      </c>
      <c r="G1" t="s">
        <v>54</v>
      </c>
      <c r="H1" t="s">
        <v>55</v>
      </c>
      <c r="I1" t="s">
        <v>21</v>
      </c>
    </row>
    <row r="2" spans="1:12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I2" s="4" t="s">
        <v>24</v>
      </c>
      <c r="L2" s="4"/>
    </row>
    <row r="3" spans="1:12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I3" s="4" t="s">
        <v>71</v>
      </c>
      <c r="L3" s="4"/>
    </row>
    <row r="4" spans="1:12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I4" s="4" t="s">
        <v>25</v>
      </c>
      <c r="L4" s="4"/>
    </row>
    <row r="5" spans="1:12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I5" s="4" t="s">
        <v>26</v>
      </c>
      <c r="L5" s="4"/>
    </row>
    <row r="6" spans="1:12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  <c r="I6" t="s">
        <v>41</v>
      </c>
    </row>
    <row r="7" spans="1:12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  <c r="I7" t="s">
        <v>42</v>
      </c>
    </row>
    <row r="8" spans="1:12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  <c r="I8" s="4" t="s">
        <v>59</v>
      </c>
    </row>
    <row r="9" spans="1:12" ht="16" x14ac:dyDescent="0.2">
      <c r="A9" s="1">
        <v>8</v>
      </c>
      <c r="B9" s="1">
        <v>111</v>
      </c>
      <c r="C9" s="1">
        <v>111</v>
      </c>
      <c r="D9">
        <v>443213</v>
      </c>
      <c r="E9" s="1"/>
      <c r="F9" s="1"/>
      <c r="G9" s="1"/>
      <c r="H9" s="1"/>
      <c r="I9" s="4" t="s">
        <v>62</v>
      </c>
    </row>
    <row r="10" spans="1:12" ht="16" x14ac:dyDescent="0.2">
      <c r="A10" s="1">
        <v>8</v>
      </c>
      <c r="B10" s="1">
        <v>111</v>
      </c>
      <c r="C10" s="1">
        <v>111</v>
      </c>
      <c r="D10">
        <v>443213</v>
      </c>
      <c r="I10" s="4" t="s">
        <v>95</v>
      </c>
    </row>
    <row r="11" spans="1:12" ht="16" x14ac:dyDescent="0.2">
      <c r="A11" s="1">
        <v>9</v>
      </c>
      <c r="B11" s="1">
        <v>16</v>
      </c>
      <c r="C11" s="1">
        <v>16</v>
      </c>
      <c r="D11">
        <v>443213</v>
      </c>
      <c r="E11" s="1">
        <v>3000</v>
      </c>
      <c r="F11" s="1">
        <v>4188539</v>
      </c>
      <c r="G11" s="1">
        <v>4188539</v>
      </c>
      <c r="H11" s="1">
        <v>7</v>
      </c>
      <c r="I11" s="4" t="s">
        <v>62</v>
      </c>
    </row>
    <row r="12" spans="1:12" ht="16" x14ac:dyDescent="0.2">
      <c r="A12" s="1">
        <v>72</v>
      </c>
      <c r="B12" s="1">
        <v>17</v>
      </c>
      <c r="C12" s="1">
        <v>17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  <c r="I12" s="4"/>
    </row>
    <row r="13" spans="1:12" ht="16" x14ac:dyDescent="0.2">
      <c r="A13" s="1">
        <v>71</v>
      </c>
      <c r="B13" s="1">
        <v>17</v>
      </c>
      <c r="C13" s="1">
        <v>17</v>
      </c>
      <c r="D13">
        <v>4092289</v>
      </c>
      <c r="E13" s="1">
        <v>4000</v>
      </c>
      <c r="F13" s="1">
        <v>4188540</v>
      </c>
      <c r="G13" s="1">
        <v>4188540</v>
      </c>
      <c r="H13" s="1">
        <v>10</v>
      </c>
      <c r="I13" s="4" t="s">
        <v>96</v>
      </c>
    </row>
    <row r="14" spans="1:12" ht="16" x14ac:dyDescent="0.2">
      <c r="A14" s="1">
        <v>71</v>
      </c>
      <c r="B14" s="1">
        <v>18</v>
      </c>
      <c r="C14" s="1">
        <v>18</v>
      </c>
      <c r="D14">
        <v>4092289</v>
      </c>
      <c r="E14" s="1">
        <v>4000</v>
      </c>
      <c r="F14" s="1">
        <v>4188540</v>
      </c>
      <c r="G14" s="1">
        <v>4188540</v>
      </c>
      <c r="H14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2026-08-19T09:16:04Z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